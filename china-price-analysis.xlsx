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김왕현_부장\Downloads\"/>
    </mc:Choice>
  </mc:AlternateContent>
  <xr:revisionPtr revIDLastSave="0" documentId="13_ncr:1_{8E083675-216B-409C-90BB-95642A6E78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묶음판매_재설계" sheetId="2" r:id="rId1"/>
    <sheet name="자동판정_요약" sheetId="1" r:id="rId2"/>
  </sheets>
  <definedNames>
    <definedName name="_xlnm._FilterDatabase" localSheetId="1" hidden="1">자동판정_요약!$A$17:$G$47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G33" i="2" l="1"/>
  <c r="V33" i="2" s="1"/>
  <c r="S33" i="2"/>
  <c r="P33" i="2"/>
  <c r="K33" i="2"/>
  <c r="L33" i="2" s="1"/>
  <c r="M33" i="2" s="1"/>
  <c r="G33" i="2"/>
  <c r="H33" i="2" s="1"/>
  <c r="AG32" i="2"/>
  <c r="V32" i="2" s="1"/>
  <c r="S32" i="2"/>
  <c r="P32" i="2"/>
  <c r="T32" i="2" s="1"/>
  <c r="L32" i="2"/>
  <c r="K32" i="2"/>
  <c r="G32" i="2"/>
  <c r="H32" i="2" s="1"/>
  <c r="AG31" i="2"/>
  <c r="V31" i="2"/>
  <c r="S31" i="2"/>
  <c r="P31" i="2"/>
  <c r="L31" i="2"/>
  <c r="M31" i="2" s="1"/>
  <c r="K31" i="2"/>
  <c r="H31" i="2"/>
  <c r="AG30" i="2"/>
  <c r="V30" i="2" s="1"/>
  <c r="W30" i="2"/>
  <c r="T30" i="2"/>
  <c r="S30" i="2"/>
  <c r="P30" i="2"/>
  <c r="K30" i="2"/>
  <c r="L30" i="2" s="1"/>
  <c r="M30" i="2" s="1"/>
  <c r="H30" i="2"/>
  <c r="AG29" i="2"/>
  <c r="V29" i="2" s="1"/>
  <c r="Y29" i="2" s="1"/>
  <c r="AK29" i="2" s="1"/>
  <c r="S29" i="2"/>
  <c r="P29" i="2"/>
  <c r="T29" i="2" s="1"/>
  <c r="L29" i="2"/>
  <c r="M29" i="2" s="1"/>
  <c r="W29" i="2" s="1"/>
  <c r="K29" i="2"/>
  <c r="H29" i="2"/>
  <c r="AG28" i="2"/>
  <c r="V28" i="2"/>
  <c r="S28" i="2"/>
  <c r="P28" i="2"/>
  <c r="Y28" i="2" s="1"/>
  <c r="AK28" i="2" s="1"/>
  <c r="M28" i="2"/>
  <c r="L28" i="2"/>
  <c r="K28" i="2"/>
  <c r="H28" i="2"/>
  <c r="AG27" i="2"/>
  <c r="W27" i="2"/>
  <c r="V27" i="2"/>
  <c r="AJ27" i="2" s="1"/>
  <c r="T27" i="2"/>
  <c r="S27" i="2"/>
  <c r="P27" i="2"/>
  <c r="K27" i="2"/>
  <c r="L27" i="2" s="1"/>
  <c r="M27" i="2" s="1"/>
  <c r="H27" i="2"/>
  <c r="AG26" i="2"/>
  <c r="V26" i="2" s="1"/>
  <c r="Y26" i="2" s="1"/>
  <c r="AK26" i="2" s="1"/>
  <c r="S26" i="2"/>
  <c r="P26" i="2"/>
  <c r="T26" i="2" s="1"/>
  <c r="L26" i="2"/>
  <c r="M26" i="2" s="1"/>
  <c r="W26" i="2" s="1"/>
  <c r="K26" i="2"/>
  <c r="H26" i="2"/>
  <c r="AG25" i="2"/>
  <c r="V25" i="2" s="1"/>
  <c r="S25" i="2"/>
  <c r="P25" i="2"/>
  <c r="M25" i="2"/>
  <c r="L25" i="2"/>
  <c r="K25" i="2"/>
  <c r="H25" i="2"/>
  <c r="AG24" i="2"/>
  <c r="V24" i="2" s="1"/>
  <c r="T24" i="2"/>
  <c r="S24" i="2"/>
  <c r="P24" i="2"/>
  <c r="K24" i="2"/>
  <c r="L24" i="2" s="1"/>
  <c r="M24" i="2" s="1"/>
  <c r="W24" i="2" s="1"/>
  <c r="H24" i="2"/>
  <c r="AG23" i="2"/>
  <c r="V23" i="2" s="1"/>
  <c r="AJ23" i="2" s="1"/>
  <c r="Y23" i="2"/>
  <c r="AK23" i="2" s="1"/>
  <c r="S23" i="2"/>
  <c r="P23" i="2"/>
  <c r="T23" i="2" s="1"/>
  <c r="L23" i="2"/>
  <c r="M23" i="2" s="1"/>
  <c r="W23" i="2" s="1"/>
  <c r="K23" i="2"/>
  <c r="H23" i="2"/>
  <c r="AG22" i="2"/>
  <c r="V22" i="2"/>
  <c r="T22" i="2"/>
  <c r="S22" i="2"/>
  <c r="P22" i="2"/>
  <c r="M22" i="2"/>
  <c r="L22" i="2"/>
  <c r="K22" i="2"/>
  <c r="H22" i="2"/>
  <c r="AG21" i="2"/>
  <c r="V21" i="2" s="1"/>
  <c r="T21" i="2"/>
  <c r="W21" i="2" s="1"/>
  <c r="S21" i="2"/>
  <c r="P21" i="2"/>
  <c r="K21" i="2"/>
  <c r="L21" i="2" s="1"/>
  <c r="M21" i="2" s="1"/>
  <c r="H21" i="2"/>
  <c r="AG20" i="2"/>
  <c r="V20" i="2" s="1"/>
  <c r="AJ20" i="2" s="1"/>
  <c r="S20" i="2"/>
  <c r="P20" i="2"/>
  <c r="T20" i="2" s="1"/>
  <c r="L20" i="2"/>
  <c r="M20" i="2" s="1"/>
  <c r="W20" i="2" s="1"/>
  <c r="K20" i="2"/>
  <c r="H20" i="2"/>
  <c r="AG19" i="2"/>
  <c r="V19" i="2"/>
  <c r="T19" i="2"/>
  <c r="S19" i="2"/>
  <c r="P19" i="2"/>
  <c r="L19" i="2"/>
  <c r="M19" i="2" s="1"/>
  <c r="W19" i="2" s="1"/>
  <c r="K19" i="2"/>
  <c r="H19" i="2"/>
  <c r="AG18" i="2"/>
  <c r="V18" i="2"/>
  <c r="T18" i="2"/>
  <c r="S18" i="2"/>
  <c r="P18" i="2"/>
  <c r="K18" i="2"/>
  <c r="L18" i="2" s="1"/>
  <c r="G18" i="2"/>
  <c r="H18" i="2" s="1"/>
  <c r="AG17" i="2"/>
  <c r="V17" i="2" s="1"/>
  <c r="S17" i="2"/>
  <c r="P17" i="2"/>
  <c r="K17" i="2"/>
  <c r="L17" i="2" s="1"/>
  <c r="M17" i="2" s="1"/>
  <c r="H17" i="2"/>
  <c r="AG16" i="2"/>
  <c r="V16" i="2"/>
  <c r="S16" i="2"/>
  <c r="P16" i="2"/>
  <c r="M16" i="2"/>
  <c r="K16" i="2"/>
  <c r="L16" i="2" s="1"/>
  <c r="H16" i="2"/>
  <c r="AG15" i="2"/>
  <c r="V15" i="2" s="1"/>
  <c r="AJ15" i="2" s="1"/>
  <c r="W15" i="2"/>
  <c r="AH15" i="2" s="1"/>
  <c r="AI15" i="2" s="1"/>
  <c r="S15" i="2"/>
  <c r="P15" i="2"/>
  <c r="T15" i="2" s="1"/>
  <c r="K15" i="2"/>
  <c r="L15" i="2" s="1"/>
  <c r="M15" i="2" s="1"/>
  <c r="H15" i="2"/>
  <c r="G15" i="2"/>
  <c r="AG14" i="2"/>
  <c r="V14" i="2" s="1"/>
  <c r="S14" i="2"/>
  <c r="P14" i="2"/>
  <c r="K14" i="2"/>
  <c r="L14" i="2" s="1"/>
  <c r="M14" i="2" s="1"/>
  <c r="H14" i="2"/>
  <c r="AG13" i="2"/>
  <c r="V13" i="2" s="1"/>
  <c r="S13" i="2"/>
  <c r="P13" i="2"/>
  <c r="K13" i="2"/>
  <c r="L13" i="2" s="1"/>
  <c r="M13" i="2" s="1"/>
  <c r="G13" i="2"/>
  <c r="H13" i="2" s="1"/>
  <c r="AG12" i="2"/>
  <c r="V12" i="2" s="1"/>
  <c r="Y12" i="2" s="1"/>
  <c r="AK12" i="2" s="1"/>
  <c r="S12" i="2"/>
  <c r="P12" i="2"/>
  <c r="T12" i="2" s="1"/>
  <c r="K12" i="2"/>
  <c r="L12" i="2" s="1"/>
  <c r="M12" i="2" s="1"/>
  <c r="W12" i="2" s="1"/>
  <c r="G12" i="2"/>
  <c r="H12" i="2" s="1"/>
  <c r="AG11" i="2"/>
  <c r="V11" i="2" s="1"/>
  <c r="S11" i="2"/>
  <c r="P11" i="2"/>
  <c r="M11" i="2"/>
  <c r="L11" i="2"/>
  <c r="K11" i="2"/>
  <c r="G11" i="2"/>
  <c r="H11" i="2" s="1"/>
  <c r="AG10" i="2"/>
  <c r="V10" i="2" s="1"/>
  <c r="S10" i="2"/>
  <c r="P10" i="2"/>
  <c r="T10" i="2" s="1"/>
  <c r="K10" i="2"/>
  <c r="L10" i="2" s="1"/>
  <c r="M10" i="2" s="1"/>
  <c r="W10" i="2" s="1"/>
  <c r="H10" i="2"/>
  <c r="G10" i="2"/>
  <c r="AG9" i="2"/>
  <c r="V9" i="2"/>
  <c r="S9" i="2"/>
  <c r="P9" i="2"/>
  <c r="K9" i="2"/>
  <c r="L9" i="2" s="1"/>
  <c r="M9" i="2" s="1"/>
  <c r="H9" i="2"/>
  <c r="G9" i="2"/>
  <c r="AG8" i="2"/>
  <c r="V8" i="2" s="1"/>
  <c r="S8" i="2"/>
  <c r="P8" i="2"/>
  <c r="K8" i="2"/>
  <c r="L8" i="2" s="1"/>
  <c r="G8" i="2"/>
  <c r="H8" i="2" s="1"/>
  <c r="AG7" i="2"/>
  <c r="V7" i="2" s="1"/>
  <c r="S7" i="2"/>
  <c r="P7" i="2"/>
  <c r="T7" i="2" s="1"/>
  <c r="L7" i="2"/>
  <c r="M7" i="2" s="1"/>
  <c r="W7" i="2" s="1"/>
  <c r="K7" i="2"/>
  <c r="G7" i="2"/>
  <c r="H7" i="2" s="1"/>
  <c r="AG6" i="2"/>
  <c r="V6" i="2" s="1"/>
  <c r="S6" i="2"/>
  <c r="P6" i="2"/>
  <c r="K6" i="2"/>
  <c r="L6" i="2" s="1"/>
  <c r="M6" i="2" s="1"/>
  <c r="G6" i="2"/>
  <c r="H6" i="2" s="1"/>
  <c r="AG5" i="2"/>
  <c r="V5" i="2" s="1"/>
  <c r="Y5" i="2" s="1"/>
  <c r="AK5" i="2" s="1"/>
  <c r="S5" i="2"/>
  <c r="P5" i="2"/>
  <c r="T5" i="2" s="1"/>
  <c r="K5" i="2"/>
  <c r="L5" i="2" s="1"/>
  <c r="M5" i="2" s="1"/>
  <c r="W5" i="2" s="1"/>
  <c r="G5" i="2"/>
  <c r="H5" i="2" s="1"/>
  <c r="AG4" i="2"/>
  <c r="V4" i="2" s="1"/>
  <c r="S4" i="2"/>
  <c r="P4" i="2"/>
  <c r="L4" i="2"/>
  <c r="M4" i="2" s="1"/>
  <c r="K4" i="2"/>
  <c r="H4" i="2"/>
  <c r="Y25" i="2" l="1"/>
  <c r="AK25" i="2" s="1"/>
  <c r="Y20" i="2"/>
  <c r="AK20" i="2" s="1"/>
  <c r="Y11" i="2"/>
  <c r="AK11" i="2" s="1"/>
  <c r="Y4" i="2"/>
  <c r="AK4" i="2" s="1"/>
  <c r="Y8" i="2"/>
  <c r="AK8" i="2" s="1"/>
  <c r="Y31" i="2"/>
  <c r="AK31" i="2" s="1"/>
  <c r="AJ31" i="2"/>
  <c r="AJ19" i="2"/>
  <c r="AJ24" i="2"/>
  <c r="Y24" i="2"/>
  <c r="AK24" i="2" s="1"/>
  <c r="AH21" i="2"/>
  <c r="AI21" i="2" s="1"/>
  <c r="X21" i="2"/>
  <c r="X19" i="2"/>
  <c r="AH19" i="2"/>
  <c r="AI19" i="2" s="1"/>
  <c r="W4" i="2"/>
  <c r="W14" i="2"/>
  <c r="AJ32" i="2"/>
  <c r="AJ10" i="2"/>
  <c r="AJ21" i="2"/>
  <c r="Y21" i="2"/>
  <c r="AK21" i="2" s="1"/>
  <c r="X23" i="2"/>
  <c r="AH23" i="2"/>
  <c r="AI23" i="2" s="1"/>
  <c r="X29" i="2"/>
  <c r="AJ29" i="2"/>
  <c r="AH29" i="2"/>
  <c r="AI29" i="2" s="1"/>
  <c r="X26" i="2"/>
  <c r="AH26" i="2"/>
  <c r="AI26" i="2" s="1"/>
  <c r="W17" i="2"/>
  <c r="AH24" i="2"/>
  <c r="AI24" i="2" s="1"/>
  <c r="X24" i="2"/>
  <c r="AH10" i="2"/>
  <c r="AI10" i="2" s="1"/>
  <c r="X10" i="2"/>
  <c r="AH12" i="2"/>
  <c r="AI12" i="2" s="1"/>
  <c r="X12" i="2"/>
  <c r="X5" i="2"/>
  <c r="AH5" i="2"/>
  <c r="AI5" i="2" s="1"/>
  <c r="X7" i="2"/>
  <c r="AH7" i="2"/>
  <c r="AI7" i="2" s="1"/>
  <c r="AJ7" i="2"/>
  <c r="W9" i="2"/>
  <c r="AJ12" i="2"/>
  <c r="X20" i="2"/>
  <c r="AH20" i="2"/>
  <c r="AI20" i="2" s="1"/>
  <c r="AJ26" i="2"/>
  <c r="AH30" i="2"/>
  <c r="AI30" i="2" s="1"/>
  <c r="X30" i="2"/>
  <c r="M32" i="2"/>
  <c r="W32" i="2" s="1"/>
  <c r="T11" i="2"/>
  <c r="AJ5" i="2"/>
  <c r="T9" i="2"/>
  <c r="Y9" i="2"/>
  <c r="AK9" i="2" s="1"/>
  <c r="T28" i="2"/>
  <c r="AJ30" i="2"/>
  <c r="M8" i="2"/>
  <c r="W8" i="2" s="1"/>
  <c r="T14" i="2"/>
  <c r="Y14" i="2"/>
  <c r="AK14" i="2" s="1"/>
  <c r="M18" i="2"/>
  <c r="W18" i="2" s="1"/>
  <c r="Y19" i="2"/>
  <c r="AK19" i="2" s="1"/>
  <c r="AH27" i="2"/>
  <c r="AI27" i="2" s="1"/>
  <c r="X27" i="2"/>
  <c r="Y13" i="2"/>
  <c r="AK13" i="2" s="1"/>
  <c r="AJ18" i="2"/>
  <c r="T31" i="2"/>
  <c r="T8" i="2"/>
  <c r="X15" i="2"/>
  <c r="T25" i="2"/>
  <c r="T4" i="2"/>
  <c r="Y7" i="2"/>
  <c r="AK7" i="2" s="1"/>
  <c r="T13" i="2"/>
  <c r="W13" i="2" s="1"/>
  <c r="Y17" i="2"/>
  <c r="AK17" i="2" s="1"/>
  <c r="T17" i="2"/>
  <c r="Y16" i="2"/>
  <c r="AK16" i="2" s="1"/>
  <c r="T16" i="2"/>
  <c r="W16" i="2" s="1"/>
  <c r="W31" i="2"/>
  <c r="Y18" i="2"/>
  <c r="AK18" i="2" s="1"/>
  <c r="W22" i="2"/>
  <c r="AJ22" i="2" s="1"/>
  <c r="W25" i="2"/>
  <c r="Y6" i="2"/>
  <c r="AK6" i="2" s="1"/>
  <c r="T6" i="2"/>
  <c r="W6" i="2" s="1"/>
  <c r="Y27" i="2"/>
  <c r="AK27" i="2" s="1"/>
  <c r="W11" i="2"/>
  <c r="AJ17" i="2"/>
  <c r="Y22" i="2"/>
  <c r="AK22" i="2" s="1"/>
  <c r="Y33" i="2"/>
  <c r="AK33" i="2" s="1"/>
  <c r="W28" i="2"/>
  <c r="Y30" i="2"/>
  <c r="AK30" i="2" s="1"/>
  <c r="Y32" i="2"/>
  <c r="AK32" i="2" s="1"/>
  <c r="T33" i="2"/>
  <c r="W33" i="2" s="1"/>
  <c r="Y10" i="2"/>
  <c r="AK10" i="2" s="1"/>
  <c r="Y15" i="2"/>
  <c r="AK15" i="2" s="1"/>
  <c r="AH6" i="2" l="1"/>
  <c r="AI6" i="2" s="1"/>
  <c r="X6" i="2"/>
  <c r="AJ6" i="2"/>
  <c r="AH33" i="2"/>
  <c r="AI33" i="2" s="1"/>
  <c r="X33" i="2"/>
  <c r="AJ33" i="2"/>
  <c r="AH13" i="2"/>
  <c r="AI13" i="2" s="1"/>
  <c r="X13" i="2"/>
  <c r="AJ13" i="2"/>
  <c r="AH4" i="2"/>
  <c r="AI4" i="2" s="1"/>
  <c r="X4" i="2"/>
  <c r="AJ4" i="2"/>
  <c r="X9" i="2"/>
  <c r="AH9" i="2"/>
  <c r="AI9" i="2" s="1"/>
  <c r="AJ9" i="2"/>
  <c r="X14" i="2"/>
  <c r="AJ14" i="2"/>
  <c r="AH14" i="2"/>
  <c r="AI14" i="2" s="1"/>
  <c r="AH18" i="2"/>
  <c r="AI18" i="2" s="1"/>
  <c r="X18" i="2"/>
  <c r="X17" i="2"/>
  <c r="AH17" i="2"/>
  <c r="AI17" i="2" s="1"/>
  <c r="X16" i="2"/>
  <c r="AH16" i="2"/>
  <c r="AI16" i="2" s="1"/>
  <c r="AH25" i="2"/>
  <c r="AI25" i="2" s="1"/>
  <c r="X25" i="2"/>
  <c r="AJ25" i="2"/>
  <c r="X22" i="2"/>
  <c r="AH22" i="2"/>
  <c r="AI22" i="2" s="1"/>
  <c r="AH8" i="2"/>
  <c r="AI8" i="2" s="1"/>
  <c r="X8" i="2"/>
  <c r="AH11" i="2"/>
  <c r="AI11" i="2" s="1"/>
  <c r="X11" i="2"/>
  <c r="AJ11" i="2"/>
  <c r="AH32" i="2"/>
  <c r="AI32" i="2" s="1"/>
  <c r="X32" i="2"/>
  <c r="X28" i="2"/>
  <c r="AH28" i="2"/>
  <c r="AI28" i="2" s="1"/>
  <c r="AJ28" i="2"/>
  <c r="AJ8" i="2"/>
  <c r="AJ16" i="2"/>
  <c r="AH31" i="2"/>
  <c r="AI31" i="2" s="1"/>
  <c r="X31" i="2"/>
</calcChain>
</file>

<file path=xl/sharedStrings.xml><?xml version="1.0" encoding="utf-8"?>
<sst xmlns="http://schemas.openxmlformats.org/spreadsheetml/2006/main" count="508" uniqueCount="249">
  <si>
    <r>
      <rPr>
        <b/>
        <sz val="14"/>
        <color rgb="FFFFFFFF"/>
        <rFont val="Cambria"/>
        <family val="1"/>
      </rPr>
      <t>30</t>
    </r>
    <r>
      <rPr>
        <b/>
        <sz val="14"/>
        <color rgb="FFFFFFFF"/>
        <rFont val="Noto Sans CJK SC"/>
        <family val="2"/>
      </rPr>
      <t>개 품목 자동 판정 요약</t>
    </r>
  </si>
  <si>
    <t>사용 방법</t>
  </si>
  <si>
    <t>① 원본 시트(묶음판매_재설계) AA~AF의 공급배수/기본 목표이익률/조건부 하한을 수정합니다.</t>
  </si>
  <si>
    <t>② 품목별 목표이익률을 따로 쓰려면 원본 시트 U열에 입력합니다. 비우면 기본 목표이익률이 적용됩니다.</t>
  </si>
  <si>
    <r>
      <rPr>
        <sz val="11"/>
        <color theme="1"/>
        <rFont val="맑은 고딕"/>
        <family val="2"/>
        <charset val="1"/>
      </rPr>
      <t>③ AI</t>
    </r>
    <r>
      <rPr>
        <sz val="11"/>
        <color theme="1"/>
        <rFont val="Noto Sans CJK SC"/>
        <family val="2"/>
      </rPr>
      <t>열의 사업성판정</t>
    </r>
    <r>
      <rPr>
        <sz val="11"/>
        <color theme="1"/>
        <rFont val="맑은 고딕"/>
        <family val="2"/>
        <charset val="1"/>
      </rPr>
      <t>(GO/</t>
    </r>
    <r>
      <rPr>
        <sz val="11"/>
        <color theme="1"/>
        <rFont val="Noto Sans CJK SC"/>
        <family val="2"/>
      </rPr>
      <t>조건부</t>
    </r>
    <r>
      <rPr>
        <sz val="11"/>
        <color theme="1"/>
        <rFont val="맑은 고딕"/>
        <family val="2"/>
        <charset val="1"/>
      </rPr>
      <t>/NO)</t>
    </r>
    <r>
      <rPr>
        <sz val="11"/>
        <color theme="1"/>
        <rFont val="Noto Sans CJK SC"/>
        <family val="2"/>
      </rPr>
      <t xml:space="preserve">과 </t>
    </r>
    <r>
      <rPr>
        <sz val="11"/>
        <color theme="1"/>
        <rFont val="맑은 고딕"/>
        <family val="2"/>
        <charset val="1"/>
      </rPr>
      <t>AJ~AK</t>
    </r>
    <r>
      <rPr>
        <sz val="11"/>
        <color theme="1"/>
        <rFont val="Noto Sans CJK SC"/>
        <family val="2"/>
      </rPr>
      <t>열의 부족액</t>
    </r>
    <r>
      <rPr>
        <sz val="11"/>
        <color theme="1"/>
        <rFont val="맑은 고딕"/>
        <family val="2"/>
        <charset val="1"/>
      </rPr>
      <t>/</t>
    </r>
    <r>
      <rPr>
        <sz val="11"/>
        <color theme="1"/>
        <rFont val="Noto Sans CJK SC"/>
        <family val="2"/>
      </rPr>
      <t>목표중국단가를 기준으로 협상합니다</t>
    </r>
    <r>
      <rPr>
        <sz val="11"/>
        <color theme="1"/>
        <rFont val="맑은 고딕"/>
        <family val="2"/>
        <charset val="1"/>
      </rPr>
      <t>.</t>
    </r>
  </si>
  <si>
    <t>현재 기준</t>
  </si>
  <si>
    <t>공급배수</t>
  </si>
  <si>
    <t>기본 목표이익률</t>
  </si>
  <si>
    <t>조건부 하한</t>
  </si>
  <si>
    <t>총 품목 수</t>
  </si>
  <si>
    <t>GO</t>
  </si>
  <si>
    <t>조건부</t>
  </si>
  <si>
    <t>NO</t>
  </si>
  <si>
    <r>
      <rPr>
        <i/>
        <sz val="11"/>
        <color rgb="FF7F6000"/>
        <rFont val="Noto Sans CJK SC"/>
        <family val="2"/>
      </rPr>
      <t>※ 요약 시트는 현재 시점 스냅샷입니다</t>
    </r>
    <r>
      <rPr>
        <i/>
        <sz val="11"/>
        <color rgb="FF7F6000"/>
        <rFont val="Cambria"/>
        <family val="1"/>
      </rPr>
      <t xml:space="preserve">. </t>
    </r>
    <r>
      <rPr>
        <i/>
        <sz val="11"/>
        <color rgb="FF7F6000"/>
        <rFont val="Noto Sans CJK SC"/>
        <family val="2"/>
      </rPr>
      <t xml:space="preserve">입력값 수정 후 최신 결과는 원본 시트의 </t>
    </r>
    <r>
      <rPr>
        <i/>
        <sz val="11"/>
        <color rgb="FF7F6000"/>
        <rFont val="Cambria"/>
        <family val="1"/>
      </rPr>
      <t xml:space="preserve">AI~AK </t>
    </r>
    <r>
      <rPr>
        <i/>
        <sz val="11"/>
        <color rgb="FF7F6000"/>
        <rFont val="Noto Sans CJK SC"/>
        <family val="2"/>
      </rPr>
      <t>열에서 확인하세요</t>
    </r>
    <r>
      <rPr>
        <i/>
        <sz val="11"/>
        <color rgb="FF7F6000"/>
        <rFont val="Cambria"/>
        <family val="1"/>
      </rPr>
      <t>.</t>
    </r>
  </si>
  <si>
    <t>품목번호</t>
  </si>
  <si>
    <t>품목</t>
  </si>
  <si>
    <t>제품명</t>
  </si>
  <si>
    <t>사업성판정</t>
  </si>
  <si>
    <t>목표이익달성률</t>
  </si>
  <si>
    <t>개선필요액(원)</t>
  </si>
  <si>
    <t>목표중국단가(RMB)</t>
  </si>
  <si>
    <t>TD-1007</t>
  </si>
  <si>
    <t>쓰레기봉투</t>
  </si>
  <si>
    <t>쓰레기 봉투 45cm*50cm*30pcs</t>
  </si>
  <si>
    <t>TD-8063</t>
  </si>
  <si>
    <t>플랫 쓰레기 봉투 45×55 25장</t>
  </si>
  <si>
    <t>TD-8071</t>
  </si>
  <si>
    <t>조끼형 쓰레기 봉투 45*60cm 1롤*25pcs</t>
  </si>
  <si>
    <t>TD-0002</t>
  </si>
  <si>
    <t>조끼형 쓰레기 봉투 45cm*60cm*30개</t>
  </si>
  <si>
    <t>TD-0004</t>
  </si>
  <si>
    <t>특대 조끼 쓰레기 봉투 50×70 cm 30장</t>
  </si>
  <si>
    <t>TD-8120</t>
  </si>
  <si>
    <t>두꺼운 조임끈 쓰레기 봉투 45*50cm 30pcs 작은</t>
  </si>
  <si>
    <t>TD-8121</t>
  </si>
  <si>
    <t>두꺼운 조임끈 쓰레기 봉투 50*55cm 25pcs 대형</t>
  </si>
  <si>
    <t>TD-8254</t>
  </si>
  <si>
    <t>PE 쓰레기 분류 쓰레기 봉투 45*50cm 30pcs</t>
  </si>
  <si>
    <t>TD-8255</t>
  </si>
  <si>
    <t>PE 쓰레기 분류 쓰레기 봉투 50*60cm 30 개입</t>
  </si>
  <si>
    <t>TD-8092</t>
  </si>
  <si>
    <t>조임끈 쓰레기 봉투 45*50 3*15pcs</t>
  </si>
  <si>
    <t>TD-0007</t>
  </si>
  <si>
    <t>장갑</t>
  </si>
  <si>
    <t>일회용 장갑 20개 무료 10개</t>
  </si>
  <si>
    <t>TD-0008</t>
  </si>
  <si>
    <t>일회용 장갑 50개 무료 10개</t>
  </si>
  <si>
    <t>TD-0010</t>
  </si>
  <si>
    <t>랍스터 장갑 30개</t>
  </si>
  <si>
    <t>TD-8016</t>
  </si>
  <si>
    <t>일회용 장갑(50개)</t>
  </si>
  <si>
    <t>TD-8019</t>
  </si>
  <si>
    <t>탈착식 TPE 일회용 장갑 100개</t>
  </si>
  <si>
    <t>TD-6001</t>
  </si>
  <si>
    <t>랩</t>
  </si>
  <si>
    <t>플라스틱 랩 20cm*20m</t>
  </si>
  <si>
    <t>TD-6023</t>
  </si>
  <si>
    <t>포인트 브레이크 랩 20×20m</t>
  </si>
  <si>
    <t>TD-6008</t>
  </si>
  <si>
    <t>플라스틱 랩 20cm*30m</t>
  </si>
  <si>
    <t>TD-6003</t>
  </si>
  <si>
    <t>플라스틱 랩 30cm*20m</t>
  </si>
  <si>
    <t>TD-6021</t>
  </si>
  <si>
    <t>포인트 브레이크 랩 25×25m</t>
  </si>
  <si>
    <t>TD-6013</t>
  </si>
  <si>
    <t>식품 플라스틱 랩 25cm*30m</t>
  </si>
  <si>
    <t>TD-6002</t>
  </si>
  <si>
    <t>플라스틱 랩 20cm*50m</t>
  </si>
  <si>
    <t>TD-6019</t>
  </si>
  <si>
    <t>포인트 앤 브레이크 랩 30×25m</t>
  </si>
  <si>
    <t>TD-8227</t>
  </si>
  <si>
    <t>그릇</t>
  </si>
  <si>
    <t>1 발 플라스틱 그릇 700ml 10pcs</t>
  </si>
  <si>
    <t>TD-8226</t>
  </si>
  <si>
    <t>1 발 플라스틱 그릇 450ml 20pcs</t>
  </si>
  <si>
    <t>TD-8235</t>
  </si>
  <si>
    <t>일회용 종이 그릇 550ml 10pcs</t>
  </si>
  <si>
    <t>TD-8087</t>
  </si>
  <si>
    <t>컵</t>
  </si>
  <si>
    <t>플라스틱 컵 200ml; 40 개</t>
  </si>
  <si>
    <t>TD-8247</t>
  </si>
  <si>
    <t>일회용 플라스틱 컵 200ml 50 개</t>
  </si>
  <si>
    <t>TD-8085</t>
  </si>
  <si>
    <t>간단한 종이컵 245ml; 40 개</t>
  </si>
  <si>
    <t>TD-0016</t>
  </si>
  <si>
    <t>일회용 종이컵 228ml 50pcs</t>
  </si>
  <si>
    <t>모델 입력값 / 판정 기준</t>
  </si>
  <si>
    <t>핵심 계산식</t>
  </si>
  <si>
    <t>묶음공급원가 = 단품공급원가 × 묶음수 / 순수익 = 설정판매가 - 묶음공급원가 - 판매수수료 - 배송비 - 예상부가세 / 적용목표이익률 = 개별목표이익률(비우면 기본 목표이익률) / 사업성판정 = 목표이익달성률 100% 이상 GO, 90% 이상 조건부, 미만 NO</t>
  </si>
  <si>
    <t>개별입수</t>
  </si>
  <si>
    <t>단위</t>
  </si>
  <si>
    <t>목표비교수량</t>
  </si>
  <si>
    <t>묶음수</t>
  </si>
  <si>
    <t>실제판매총수량</t>
  </si>
  <si>
    <t>중국단가(RMB)</t>
  </si>
  <si>
    <t>환율(원/CNY)</t>
  </si>
  <si>
    <t>환산원가(원)</t>
  </si>
  <si>
    <t>단품공급원가(원)
(중국원가×공급배수)</t>
  </si>
  <si>
    <t>묶음공급원가(원)</t>
  </si>
  <si>
    <t>설정판매가(원)</t>
  </si>
  <si>
    <t>판매수수료율</t>
  </si>
  <si>
    <t>판매수수료(원)</t>
  </si>
  <si>
    <t>배송비(원)</t>
  </si>
  <si>
    <t>부가세율</t>
  </si>
  <si>
    <t>예상부가세(원)</t>
  </si>
  <si>
    <t>제반비용합계(원)</t>
  </si>
  <si>
    <t>개별목표이익률
(선택 입력)</t>
  </si>
  <si>
    <t>목표이익(원)</t>
  </si>
  <si>
    <t>순수익(원)</t>
  </si>
  <si>
    <t>목표대비차이(원)</t>
  </si>
  <si>
    <t>최대허용묶음공급원가(원)</t>
  </si>
  <si>
    <t>전달사항</t>
  </si>
  <si>
    <t>비교대상1</t>
  </si>
  <si>
    <t>링크1</t>
  </si>
  <si>
    <t>설명1</t>
  </si>
  <si>
    <t>비교대상2</t>
  </si>
  <si>
    <t>링크2</t>
  </si>
  <si>
    <t>설명2</t>
  </si>
  <si>
    <t>적용목표이익률</t>
  </si>
  <si>
    <t>pcs</t>
  </si>
  <si>
    <t>본 단가는 A사 기준 중국단가 대비 약 2.4배를 적용한 총 공급원가(운임, 관세 및 부대비용 포함 추정치)를 기준으로 산출하였습니다. 
해당 원가를 기준으로 국내 판매가와 비교 검토한 결과, 
원가 경쟁력이 확보되지 않을 경우 가격 경쟁력 및 수익성 확보가 어려운 구조로 판단됩니다. 
따라서 본 사업의 핵심은 A사의 공급단가 경쟁력 확보 여부에 있다고 판단됩니다.</t>
  </si>
  <si>
    <t>쿠팡 검색</t>
  </si>
  <si>
    <t>https://www.coupang.com/np/search?component=&amp;q=%EC%93%B0%EB%A0%88%EA%B8%B0%20%EB%B4%89%ED%88%AC%2045cm%2A50cm%2A30pcs</t>
  </si>
  <si>
    <t>쿠팡에서 '쓰레기 봉투 45cm*50cm*30pcs' 검색 결과의 규격, 매수, 리뷰 수, 묶음 구성, 최저가를 비교</t>
  </si>
  <si>
    <t>네이버쇼핑 검색</t>
  </si>
  <si>
    <t>https://search.shopping.naver.com/search/all?query=%EC%93%B0%EB%A0%88%EA%B8%B0%20%EB%B4%89%ED%88%AC%2045cm%2A50cm%2A30pcs</t>
  </si>
  <si>
    <t>네이버쇼핑에서 '쓰레기 봉투 45cm*50cm*30pcs' 검색 결과의 평균가, 브랜드 분포, 대용량/묶음 판매가를 비교</t>
  </si>
  <si>
    <t>https://www.coupang.com/np/search?component=&amp;q=%ED%94%8C%EB%9E%AB%20%EC%93%B0%EB%A0%88%EA%B8%B0%20%EB%B4%89%ED%88%AC%2045%C3%9755%2025%EC%9E%A5</t>
  </si>
  <si>
    <t>쿠팡에서 '플랫 쓰레기 봉투 45×55 25장' 검색 결과의 규격, 매수, 리뷰 수, 묶음 구성, 최저가를 비교</t>
  </si>
  <si>
    <t>https://search.shopping.naver.com/search/all?query=%ED%94%8C%EB%9E%AB%20%EC%93%B0%EB%A0%88%EA%B8%B0%20%EB%B4%89%ED%88%AC%2045%C3%9755%2025%EC%9E%A5</t>
  </si>
  <si>
    <t>네이버쇼핑에서 '플랫 쓰레기 봉투 45×55 25장' 검색 결과의 평균가, 브랜드 분포, 대용량/묶음 판매가를 비교</t>
  </si>
  <si>
    <t>https://www.coupang.com/np/search?component=&amp;q=%EC%A1%B0%EB%81%BC%ED%98%95%20%EC%93%B0%EB%A0%88%EA%B8%B0%20%EB%B4%89%ED%88%AC%2045%2A60cm%201%EB%A1%A4%2A25pcs</t>
  </si>
  <si>
    <t>쿠팡에서 '조끼형 쓰레기 봉투 45*60cm 1롤*25pcs' 검색 결과의 규격, 매수, 리뷰 수, 묶음 구성, 최저가를 비교</t>
  </si>
  <si>
    <t>https://search.shopping.naver.com/search/all?query=%EC%A1%B0%EB%81%BC%ED%98%95%20%EC%93%B0%EB%A0%88%EA%B8%B0%20%EB%B4%89%ED%88%AC%2045%2A60cm%201%EB%A1%A4%2A25pcs</t>
  </si>
  <si>
    <t>네이버쇼핑에서 '조끼형 쓰레기 봉투 45*60cm 1롤*25pcs' 검색 결과의 평균가, 브랜드 분포, 대용량/묶음 판매가를 비교</t>
  </si>
  <si>
    <t>https://www.coupang.com/np/search?component=&amp;q=%EC%A1%B0%EB%81%BC%ED%98%95%20%EC%93%B0%EB%A0%88%EA%B8%B0%20%EB%B4%89%ED%88%AC%2045cm%2A60cm%2A30%EA%B0%9C</t>
  </si>
  <si>
    <t>쿠팡에서 '조끼형 쓰레기 봉투 45cm*60cm*30개' 검색 결과의 규격, 매수, 리뷰 수, 묶음 구성, 최저가를 비교</t>
  </si>
  <si>
    <t>https://search.shopping.naver.com/search/all?query=%EC%A1%B0%EB%81%BC%ED%98%95%20%EC%93%B0%EB%A0%88%EA%B8%B0%20%EB%B4%89%ED%88%AC%2045cm%2A60cm%2A30%EA%B0%9C</t>
  </si>
  <si>
    <t>네이버쇼핑에서 '조끼형 쓰레기 봉투 45cm*60cm*30개' 검색 결과의 평균가, 브랜드 분포, 대용량/묶음 판매가를 비교</t>
  </si>
  <si>
    <t>https://www.coupang.com/np/search?component=&amp;q=%ED%8A%B9%EB%8C%80%20%EC%A1%B0%EB%81%BC%20%EC%93%B0%EB%A0%88%EA%B8%B0%20%EB%B4%89%ED%88%AC%2050%C3%9770%20cm%2030%EC%9E%A5</t>
  </si>
  <si>
    <t>쿠팡에서 '특대 조끼 쓰레기 봉투 50×70 cm 30장' 검색 결과의 규격, 매수, 리뷰 수, 묶음 구성, 최저가를 비교</t>
  </si>
  <si>
    <t>https://search.shopping.naver.com/search/all?query=%ED%8A%B9%EB%8C%80%20%EC%A1%B0%EB%81%BC%20%EC%93%B0%EB%A0%88%EA%B8%B0%20%EB%B4%89%ED%88%AC%2050%C3%9770%20cm%2030%EC%9E%A5</t>
  </si>
  <si>
    <t>네이버쇼핑에서 '특대 조끼 쓰레기 봉투 50×70 cm 30장' 검색 결과의 평균가, 브랜드 분포, 대용량/묶음 판매가를 비교</t>
  </si>
  <si>
    <t>https://www.coupang.com/np/search?component=&amp;q=%EB%91%90%EA%BA%BC%EC%9A%B4%20%EC%A1%B0%EC%9E%84%EB%81%88%20%EC%93%B0%EB%A0%88%EA%B8%B0%20%EB%B4%89%ED%88%AC%2045%2A50cm%2030pcs%20%EC%9E%91%EC%9D%80</t>
  </si>
  <si>
    <t>쿠팡에서 '두꺼운 조임끈 쓰레기 봉투 45*50cm 30pcs 작은' 검색 결과의 규격, 매수, 리뷰 수, 묶음 구성, 최저가를 비교</t>
  </si>
  <si>
    <t>https://search.shopping.naver.com/search/all?query=%EB%91%90%EA%BA%BC%EC%9A%B4%20%EC%A1%B0%EC%9E%84%EB%81%88%20%EC%93%B0%EB%A0%88%EA%B8%B0%20%EB%B4%89%ED%88%AC%2045%2A50cm%2030pcs%20%EC%9E%91%EC%9D%80</t>
  </si>
  <si>
    <t>네이버쇼핑에서 '두꺼운 조임끈 쓰레기 봉투 45*50cm 30pcs 작은' 검색 결과의 평균가, 브랜드 분포, 대용량/묶음 판매가를 비교</t>
  </si>
  <si>
    <t>https://www.coupang.com/np/search?component=&amp;q=%EB%91%90%EA%BA%BC%EC%9A%B4%20%EC%A1%B0%EC%9E%84%EB%81%88%20%EC%93%B0%EB%A0%88%EA%B8%B0%20%EB%B4%89%ED%88%AC%2050%2A55cm%2025pcs%20%EB%8C%80%ED%98%95</t>
  </si>
  <si>
    <t>쿠팡에서 '두꺼운 조임끈 쓰레기 봉투 50*55cm 25pcs 대형' 검색 결과의 규격, 매수, 리뷰 수, 묶음 구성, 최저가를 비교</t>
  </si>
  <si>
    <t>https://search.shopping.naver.com/search/all?query=%EB%91%90%EA%BA%BC%EC%9A%B4%20%EC%A1%B0%EC%9E%84%EB%81%88%20%EC%93%B0%EB%A0%88%EA%B8%B0%20%EB%B4%89%ED%88%AC%2050%2A55cm%2025pcs%20%EB%8C%80%ED%98%95</t>
  </si>
  <si>
    <t>네이버쇼핑에서 '두꺼운 조임끈 쓰레기 봉투 50*55cm 25pcs 대형' 검색 결과의 평균가, 브랜드 분포, 대용량/묶음 판매가를 비교</t>
  </si>
  <si>
    <r>
      <rPr>
        <sz val="11"/>
        <color theme="1"/>
        <rFont val="맑은 고딕"/>
        <family val="2"/>
        <charset val="1"/>
      </rPr>
      <t xml:space="preserve">PE </t>
    </r>
    <r>
      <rPr>
        <sz val="11"/>
        <color theme="1"/>
        <rFont val="Noto Sans CJK SC"/>
        <family val="2"/>
      </rPr>
      <t xml:space="preserve">쓰레기 분류 쓰레기 봉투 </t>
    </r>
    <r>
      <rPr>
        <sz val="11"/>
        <color theme="1"/>
        <rFont val="맑은 고딕"/>
        <family val="2"/>
        <charset val="1"/>
      </rPr>
      <t>45*50cm 30pcs</t>
    </r>
  </si>
  <si>
    <t>개별 경쟁보다 묶음/대용량 기준으로 비교</t>
  </si>
  <si>
    <t>https://www.coupang.com/np/search?component=&amp;q=PE%20%EC%93%B0%EB%A0%88%EA%B8%B0%20%EB%B6%84%EB%A5%98%20%EC%93%B0%EB%A0%88%EA%B8%B0%20%EB%B4%89%ED%88%AC%2045%2A50cm%2030pcs</t>
  </si>
  <si>
    <t>쿠팡에서 'PE 쓰레기 분류 쓰레기 봉투 45*50cm 30pcs' 검색 결과의 규격, 매수, 리뷰 수, 묶음 구성, 최저가를 비교</t>
  </si>
  <si>
    <t>https://search.shopping.naver.com/search/all?query=PE%20%EC%93%B0%EB%A0%88%EA%B8%B0%20%EB%B6%84%EB%A5%98%20%EC%93%B0%EB%A0%88%EA%B8%B0%20%EB%B4%89%ED%88%AC%2045%2A50cm%2030pcs</t>
  </si>
  <si>
    <t>네이버쇼핑에서 'PE 쓰레기 분류 쓰레기 봉투 45*50cm 30pcs' 검색 결과의 평균가, 브랜드 분포, 대용량/묶음 판매가를 비교</t>
  </si>
  <si>
    <r>
      <rPr>
        <sz val="11"/>
        <color theme="1"/>
        <rFont val="맑은 고딕"/>
        <family val="2"/>
        <charset val="1"/>
      </rPr>
      <t xml:space="preserve">PE </t>
    </r>
    <r>
      <rPr>
        <sz val="11"/>
        <color theme="1"/>
        <rFont val="Noto Sans CJK SC"/>
        <family val="2"/>
      </rPr>
      <t xml:space="preserve">쓰레기 분류 쓰레기 봉투 </t>
    </r>
    <r>
      <rPr>
        <sz val="11"/>
        <color theme="1"/>
        <rFont val="맑은 고딕"/>
        <family val="2"/>
        <charset val="1"/>
      </rPr>
      <t xml:space="preserve">50*60cm 30 </t>
    </r>
    <r>
      <rPr>
        <sz val="11"/>
        <color theme="1"/>
        <rFont val="Noto Sans CJK SC"/>
        <family val="2"/>
      </rPr>
      <t>개입</t>
    </r>
  </si>
  <si>
    <t>https://www.coupang.com/np/search?component=&amp;q=PE%20%EC%93%B0%EB%A0%88%EA%B8%B0%20%EB%B6%84%EB%A5%98%20%EC%93%B0%EB%A0%88%EA%B8%B0%20%EB%B4%89%ED%88%AC%2050%2A60cm%2030%20%EA%B0%9C%EC%9E%85</t>
  </si>
  <si>
    <t>쿠팡에서 'PE 쓰레기 분류 쓰레기 봉투 50*60cm 30 개입' 검색 결과의 규격, 매수, 리뷰 수, 묶음 구성, 최저가를 비교</t>
  </si>
  <si>
    <t>https://search.shopping.naver.com/search/all?query=PE%20%EC%93%B0%EB%A0%88%EA%B8%B0%20%EB%B6%84%EB%A5%98%20%EC%93%B0%EB%A0%88%EA%B8%B0%20%EB%B4%89%ED%88%AC%2050%2A60cm%2030%20%EA%B0%9C%EC%9E%85</t>
  </si>
  <si>
    <t>네이버쇼핑에서 'PE 쓰레기 분류 쓰레기 봉투 50*60cm 30 개입' 검색 결과의 평균가, 브랜드 분포, 대용량/묶음 판매가를 비교</t>
  </si>
  <si>
    <t>https://www.coupang.com/np/search?component=&amp;q=%EC%A1%B0%EC%9E%84%EB%81%88%20%EC%93%B0%EB%A0%88%EA%B8%B0%20%EB%B4%89%ED%88%AC%2045%2A50%203%2A15pcs</t>
  </si>
  <si>
    <t>쿠팡에서 '조임끈 쓰레기 봉투 45*50 3*15pcs' 검색 결과의 규격, 매수, 리뷰 수, 묶음 구성, 최저가를 비교</t>
  </si>
  <si>
    <t>https://search.shopping.naver.com/search/all?query=%EC%A1%B0%EC%9E%84%EB%81%88%20%EC%93%B0%EB%A0%88%EA%B8%B0%20%EB%B4%89%ED%88%AC%2045%2A50%203%2A15pcs</t>
  </si>
  <si>
    <t>네이버쇼핑에서 '조임끈 쓰레기 봉투 45*50 3*15pcs' 검색 결과의 평균가, 브랜드 분포, 대용량/묶음 판매가를 비교</t>
  </si>
  <si>
    <t>https://www.coupang.com/np/search?component=&amp;q=%EC%9D%BC%ED%9A%8C%EC%9A%A9%20%EC%9E%A5%EA%B0%91%2020%EA%B0%9C%20%EB%AC%B4%EB%A3%8C%2010%EA%B0%9C</t>
  </si>
  <si>
    <t>쿠팡에서 '일회용 장갑 20개 무료 10개' 검색 결과의 규격, 매수, 리뷰 수, 묶음 구성, 최저가를 비교</t>
  </si>
  <si>
    <t>https://search.shopping.naver.com/search/all?query=%EC%9D%BC%ED%9A%8C%EC%9A%A9%20%EC%9E%A5%EA%B0%91%2020%EA%B0%9C%20%EB%AC%B4%EB%A3%8C%2010%EA%B0%9C</t>
  </si>
  <si>
    <t>네이버쇼핑에서 '일회용 장갑 20개 무료 10개' 검색 결과의 평균가, 브랜드 분포, 대용량/묶음 판매가를 비교</t>
  </si>
  <si>
    <t>https://www.coupang.com/np/search?component=&amp;q=%EC%9D%BC%ED%9A%8C%EC%9A%A9%20%EC%9E%A5%EA%B0%91%2050%EA%B0%9C%20%EB%AC%B4%EB%A3%8C%2010%EA%B0%9C</t>
  </si>
  <si>
    <t>쿠팡에서 '일회용 장갑 50개 무료 10개' 검색 결과의 규격, 매수, 리뷰 수, 묶음 구성, 최저가를 비교</t>
  </si>
  <si>
    <t>https://search.shopping.naver.com/search/all?query=%EC%9D%BC%ED%9A%8C%EC%9A%A9%20%EC%9E%A5%EA%B0%91%2050%EA%B0%9C%20%EB%AC%B4%EB%A3%8C%2010%EA%B0%9C</t>
  </si>
  <si>
    <t>네이버쇼핑에서 '일회용 장갑 50개 무료 10개' 검색 결과의 평균가, 브랜드 분포, 대용량/묶음 판매가를 비교</t>
  </si>
  <si>
    <t>https://www.coupang.com/np/search?component=&amp;q=%EB%9E%8D%EC%8A%A4%ED%84%B0%20%EC%9E%A5%EA%B0%91%2030%EA%B0%9C</t>
  </si>
  <si>
    <t>쿠팡에서 '랍스터 장갑 30개' 검색 결과의 규격, 매수, 리뷰 수, 묶음 구성, 최저가를 비교</t>
  </si>
  <si>
    <t>https://search.shopping.naver.com/search/all?query=%EB%9E%8D%EC%8A%A4%ED%84%B0%20%EC%9E%A5%EA%B0%91%2030%EA%B0%9C</t>
  </si>
  <si>
    <t>네이버쇼핑에서 '랍스터 장갑 30개' 검색 결과의 평균가, 브랜드 분포, 대용량/묶음 판매가를 비교</t>
  </si>
  <si>
    <t>https://www.coupang.com/np/search?component=&amp;q=%EC%9D%BC%ED%9A%8C%EC%9A%A9%20%EC%9E%A5%EA%B0%91%2850%EA%B0%9C%29</t>
  </si>
  <si>
    <t>쿠팡에서 '일회용 장갑(50개)' 검색 결과의 규격, 매수, 리뷰 수, 묶음 구성, 최저가를 비교</t>
  </si>
  <si>
    <t>https://search.shopping.naver.com/search/all?query=%EC%9D%BC%ED%9A%8C%EC%9A%A9%20%EC%9E%A5%EA%B0%91%2850%EA%B0%9C%29</t>
  </si>
  <si>
    <t>네이버쇼핑에서 '일회용 장갑(50개)' 검색 결과의 평균가, 브랜드 분포, 대용량/묶음 판매가를 비교</t>
  </si>
  <si>
    <t>https://www.coupang.com/np/search?component=&amp;q=%ED%83%88%EC%B0%A9%EC%8B%9D%20TPE%20%EC%9D%BC%ED%9A%8C%EC%9A%A9%20%EC%9E%A5%EA%B0%91%20100%EA%B0%9C</t>
  </si>
  <si>
    <t>쿠팡에서 '탈착식 TPE 일회용 장갑 100개' 검색 결과의 규격, 매수, 리뷰 수, 묶음 구성, 최저가를 비교</t>
  </si>
  <si>
    <t>https://search.shopping.naver.com/search/all?query=%ED%83%88%EC%B0%A9%EC%8B%9D%20TPE%20%EC%9D%BC%ED%9A%8C%EC%9A%A9%20%EC%9E%A5%EA%B0%91%20100%EA%B0%9C</t>
  </si>
  <si>
    <t>네이버쇼핑에서 '탈착식 TPE 일회용 장갑 100개' 검색 결과의 평균가, 브랜드 분포, 대용량/묶음 판매가를 비교</t>
  </si>
  <si>
    <t>m</t>
  </si>
  <si>
    <t>https://www.coupang.com/np/search?component=&amp;q=%ED%94%8C%EB%9D%BC%EC%8A%A4%ED%8B%B1%20%EB%9E%A9%2020cm%2A20m</t>
  </si>
  <si>
    <t>쿠팡에서 '플라스틱 랩 20cm*20m' 검색 결과의 규격, 매수, 리뷰 수, 묶음 구성, 최저가를 비교</t>
  </si>
  <si>
    <t>https://search.shopping.naver.com/search/all?query=%ED%94%8C%EB%9D%BC%EC%8A%A4%ED%8B%B1%20%EB%9E%A9%2020cm%2A20m</t>
  </si>
  <si>
    <t>네이버쇼핑에서 '플라스틱 랩 20cm*20m' 검색 결과의 평균가, 브랜드 분포, 대용량/묶음 판매가를 비교</t>
  </si>
  <si>
    <t>https://www.coupang.com/np/search?component=&amp;q=%ED%8F%AC%EC%9D%B8%ED%8A%B8%20%EB%B8%8C%EB%A0%88%EC%9D%B4%ED%81%AC%20%EB%9E%A9%2020%C3%9720m</t>
  </si>
  <si>
    <t>쿠팡에서 '포인트 브레이크 랩 20×20m' 검색 결과의 규격, 매수, 리뷰 수, 묶음 구성, 최저가를 비교</t>
  </si>
  <si>
    <t>https://search.shopping.naver.com/search/all?query=%ED%8F%AC%EC%9D%B8%ED%8A%B8%20%EB%B8%8C%EB%A0%88%EC%9D%B4%ED%81%AC%20%EB%9E%A9%2020%C3%9720m</t>
  </si>
  <si>
    <t>네이버쇼핑에서 '포인트 브레이크 랩 20×20m' 검색 결과의 평균가, 브랜드 분포, 대용량/묶음 판매가를 비교</t>
  </si>
  <si>
    <t>https://www.coupang.com/np/search?component=&amp;q=%ED%94%8C%EB%9D%BC%EC%8A%A4%ED%8B%B1%20%EB%9E%A9%2020cm%2A30m</t>
  </si>
  <si>
    <t>쿠팡에서 '플라스틱 랩 20cm*30m' 검색 결과의 규격, 매수, 리뷰 수, 묶음 구성, 최저가를 비교</t>
  </si>
  <si>
    <t>https://search.shopping.naver.com/search/all?query=%ED%94%8C%EB%9D%BC%EC%8A%A4%ED%8B%B1%20%EB%9E%A9%2020cm%2A30m</t>
  </si>
  <si>
    <t>네이버쇼핑에서 '플라스틱 랩 20cm*30m' 검색 결과의 평균가, 브랜드 분포, 대용량/묶음 판매가를 비교</t>
  </si>
  <si>
    <t>https://www.coupang.com/np/search?component=&amp;q=%ED%94%8C%EB%9D%BC%EC%8A%A4%ED%8B%B1%20%EB%9E%A9%2030cm%2A20m</t>
  </si>
  <si>
    <t>쿠팡에서 '플라스틱 랩 30cm*20m' 검색 결과의 규격, 매수, 리뷰 수, 묶음 구성, 최저가를 비교</t>
  </si>
  <si>
    <t>https://search.shopping.naver.com/search/all?query=%ED%94%8C%EB%9D%BC%EC%8A%A4%ED%8B%B1%20%EB%9E%A9%2030cm%2A20m</t>
  </si>
  <si>
    <t>네이버쇼핑에서 '플라스틱 랩 30cm*20m' 검색 결과의 평균가, 브랜드 분포, 대용량/묶음 판매가를 비교</t>
  </si>
  <si>
    <t>https://www.coupang.com/np/search?component=&amp;q=%ED%8F%AC%EC%9D%B8%ED%8A%B8%20%EB%B8%8C%EB%A0%88%EC%9D%B4%ED%81%AC%20%EB%9E%A9%2025%C3%9725m</t>
  </si>
  <si>
    <t>쿠팡에서 '포인트 브레이크 랩 25×25m' 검색 결과의 규격, 매수, 리뷰 수, 묶음 구성, 최저가를 비교</t>
  </si>
  <si>
    <t>https://search.shopping.naver.com/search/all?query=%ED%8F%AC%EC%9D%B8%ED%8A%B8%20%EB%B8%8C%EB%A0%88%EC%9D%B4%ED%81%AC%20%EB%9E%A9%2025%C3%9725m</t>
  </si>
  <si>
    <t>네이버쇼핑에서 '포인트 브레이크 랩 25×25m' 검색 결과의 평균가, 브랜드 분포, 대용량/묶음 판매가를 비교</t>
  </si>
  <si>
    <t>https://www.coupang.com/np/search?component=&amp;q=%EC%8B%9D%ED%92%88%20%ED%94%8C%EB%9D%BC%EC%8A%A4%ED%8B%B1%20%EB%9E%A9%2025cm%2A30m</t>
  </si>
  <si>
    <t>쿠팡에서 '식품 플라스틱 랩 25cm*30m' 검색 결과의 규격, 매수, 리뷰 수, 묶음 구성, 최저가를 비교</t>
  </si>
  <si>
    <t>https://search.shopping.naver.com/search/all?query=%EC%8B%9D%ED%92%88%20%ED%94%8C%EB%9D%BC%EC%8A%A4%ED%8B%B1%20%EB%9E%A9%2025cm%2A30m</t>
  </si>
  <si>
    <t>네이버쇼핑에서 '식품 플라스틱 랩 25cm*30m' 검색 결과의 평균가, 브랜드 분포, 대용량/묶음 판매가를 비교</t>
  </si>
  <si>
    <t>https://www.coupang.com/np/search?component=&amp;q=%ED%94%8C%EB%9D%BC%EC%8A%A4%ED%8B%B1%20%EB%9E%A9%2020cm%2A50m</t>
  </si>
  <si>
    <t>쿠팡에서 '플라스틱 랩 20cm*50m' 검색 결과의 규격, 매수, 리뷰 수, 묶음 구성, 최저가를 비교</t>
  </si>
  <si>
    <t>https://search.shopping.naver.com/search/all?query=%ED%94%8C%EB%9D%BC%EC%8A%A4%ED%8B%B1%20%EB%9E%A9%2020cm%2A50m</t>
  </si>
  <si>
    <t>네이버쇼핑에서 '플라스틱 랩 20cm*50m' 검색 결과의 평균가, 브랜드 분포, 대용량/묶음 판매가를 비교</t>
  </si>
  <si>
    <t>https://www.coupang.com/np/search?component=&amp;q=%ED%8F%AC%EC%9D%B8%ED%8A%B8%20%EC%95%A4%20%EB%B8%8C%EB%A0%88%EC%9D%B4%ED%81%AC%20%EB%9E%A9%2030%C3%9725m</t>
  </si>
  <si>
    <t>쿠팡에서 '포인트 앤 브레이크 랩 30×25m' 검색 결과의 규격, 매수, 리뷰 수, 묶음 구성, 최저가를 비교</t>
  </si>
  <si>
    <t>https://search.shopping.naver.com/search/all?query=%ED%8F%AC%EC%9D%B8%ED%8A%B8%20%EC%95%A4%20%EB%B8%8C%EB%A0%88%EC%9D%B4%ED%81%AC%20%EB%9E%A9%2030%C3%9725m</t>
  </si>
  <si>
    <t>네이버쇼핑에서 '포인트 앤 브레이크 랩 30×25m' 검색 결과의 평균가, 브랜드 분포, 대용량/묶음 판매가를 비교</t>
  </si>
  <si>
    <r>
      <rPr>
        <sz val="11"/>
        <color theme="1"/>
        <rFont val="맑은 고딕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발 플라스틱 그릇 </t>
    </r>
    <r>
      <rPr>
        <sz val="11"/>
        <color theme="1"/>
        <rFont val="맑은 고딕"/>
        <family val="2"/>
        <charset val="1"/>
      </rPr>
      <t>700ml 10pcs</t>
    </r>
  </si>
  <si>
    <t>https://www.coupang.com/np/search?component=&amp;q=1%20%EB%B0%9C%20%ED%94%8C%EB%9D%BC%EC%8A%A4%ED%8B%B1%20%EA%B7%B8%EB%A6%87%20700ml%2010pcs</t>
  </si>
  <si>
    <t>쿠팡에서 '1 발 플라스틱 그릇 700ml 10pcs' 검색 결과의 규격, 매수, 리뷰 수, 묶음 구성, 최저가를 비교</t>
  </si>
  <si>
    <t>https://search.shopping.naver.com/search/all?query=1%20%EB%B0%9C%20%ED%94%8C%EB%9D%BC%EC%8A%A4%ED%8B%B1%20%EA%B7%B8%EB%A6%87%20700ml%2010pcs</t>
  </si>
  <si>
    <t>네이버쇼핑에서 '1 발 플라스틱 그릇 700ml 10pcs' 검색 결과의 평균가, 브랜드 분포, 대용량/묶음 판매가를 비교</t>
  </si>
  <si>
    <r>
      <rPr>
        <sz val="11"/>
        <color theme="1"/>
        <rFont val="맑은 고딕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발 플라스틱 그릇 </t>
    </r>
    <r>
      <rPr>
        <sz val="11"/>
        <color theme="1"/>
        <rFont val="맑은 고딕"/>
        <family val="2"/>
        <charset val="1"/>
      </rPr>
      <t>450ml 20pcs</t>
    </r>
  </si>
  <si>
    <t>https://www.coupang.com/np/search?component=&amp;q=1%20%EB%B0%9C%20%ED%94%8C%EB%9D%BC%EC%8A%A4%ED%8B%B1%20%EA%B7%B8%EB%A6%87%20450ml%2020pcs</t>
  </si>
  <si>
    <t>쿠팡에서 '1 발 플라스틱 그릇 450ml 20pcs' 검색 결과의 규격, 매수, 리뷰 수, 묶음 구성, 최저가를 비교</t>
  </si>
  <si>
    <t>https://search.shopping.naver.com/search/all?query=1%20%EB%B0%9C%20%ED%94%8C%EB%9D%BC%EC%8A%A4%ED%8B%B1%20%EA%B7%B8%EB%A6%87%20450ml%2020pcs</t>
  </si>
  <si>
    <t>네이버쇼핑에서 '1 발 플라스틱 그릇 450ml 20pcs' 검색 결과의 평균가, 브랜드 분포, 대용량/묶음 판매가를 비교</t>
  </si>
  <si>
    <t>https://www.coupang.com/np/search?component=&amp;q=%EC%9D%BC%ED%9A%8C%EC%9A%A9%20%EC%A2%85%EC%9D%B4%20%EA%B7%B8%EB%A6%87%20550ml%2010pcs</t>
  </si>
  <si>
    <t>쿠팡에서 '일회용 종이 그릇 550ml 10pcs' 검색 결과의 규격, 매수, 리뷰 수, 묶음 구성, 최저가를 비교</t>
  </si>
  <si>
    <t>https://search.shopping.naver.com/search/all?query=%EC%9D%BC%ED%9A%8C%EC%9A%A9%20%EC%A2%85%EC%9D%B4%20%EA%B7%B8%EB%A6%87%20550ml%2010pcs</t>
  </si>
  <si>
    <t>네이버쇼핑에서 '일회용 종이 그릇 550ml 10pcs' 검색 결과의 평균가, 브랜드 분포, 대용량/묶음 판매가를 비교</t>
  </si>
  <si>
    <t>https://www.coupang.com/np/search?component=&amp;q=%ED%94%8C%EB%9D%BC%EC%8A%A4%ED%8B%B1%20%EC%BB%B5%20200ml%3B%2040%20%EA%B0%9C</t>
  </si>
  <si>
    <t>쿠팡에서 '플라스틱 컵 200ml; 40 개' 검색 결과의 규격, 매수, 리뷰 수, 묶음 구성, 최저가를 비교</t>
  </si>
  <si>
    <t>https://search.shopping.naver.com/search/all?query=%ED%94%8C%EB%9D%BC%EC%8A%A4%ED%8B%B1%20%EC%BB%B5%20200ml%3B%2040%20%EA%B0%9C</t>
  </si>
  <si>
    <t>네이버쇼핑에서 '플라스틱 컵 200ml; 40 개' 검색 결과의 평균가, 브랜드 분포, 대용량/묶음 판매가를 비교</t>
  </si>
  <si>
    <t>https://www.coupang.com/np/search?component=&amp;q=%EC%9D%BC%ED%9A%8C%EC%9A%A9%20%ED%94%8C%EB%9D%BC%EC%8A%A4%ED%8B%B1%20%EC%BB%B5%20200ml%2050%20%EA%B0%9C</t>
  </si>
  <si>
    <t>쿠팡에서 '일회용 플라스틱 컵 200ml 50 개' 검색 결과의 규격, 매수, 리뷰 수, 묶음 구성, 최저가를 비교</t>
  </si>
  <si>
    <t>https://search.shopping.naver.com/search/all?query=%EC%9D%BC%ED%9A%8C%EC%9A%A9%20%ED%94%8C%EB%9D%BC%EC%8A%A4%ED%8B%B1%20%EC%BB%B5%20200ml%2050%20%EA%B0%9C</t>
  </si>
  <si>
    <t>네이버쇼핑에서 '일회용 플라스틱 컵 200ml 50 개' 검색 결과의 평균가, 브랜드 분포, 대용량/묶음 판매가를 비교</t>
  </si>
  <si>
    <t>https://www.coupang.com/np/search?component=&amp;q=%EA%B0%84%EB%8B%A8%ED%95%9C%20%EC%A2%85%EC%9D%B4%EC%BB%B5%20245ml%3B%2040%20%EA%B0%9C</t>
  </si>
  <si>
    <t>쿠팡에서 '간단한 종이컵 245ml; 40 개' 검색 결과의 규격, 매수, 리뷰 수, 묶음 구성, 최저가를 비교</t>
  </si>
  <si>
    <t>https://search.shopping.naver.com/search/all?query=%EA%B0%84%EB%8B%A8%ED%95%9C%20%EC%A2%85%EC%9D%B4%EC%BB%B5%20245ml%3B%2040%20%EA%B0%9C</t>
  </si>
  <si>
    <t>네이버쇼핑에서 '간단한 종이컵 245ml; 40 개' 검색 결과의 평균가, 브랜드 분포, 대용량/묶음 판매가를 비교</t>
  </si>
  <si>
    <t>https://www.coupang.com/np/search?component=&amp;q=%EC%9D%BC%ED%9A%8C%EC%9A%A9%20%EC%A2%85%EC%9D%B4%EC%BB%B5%20228ml%2050pcs</t>
  </si>
  <si>
    <t>쿠팡에서 '일회용 종이컵 228ml 50pcs' 검색 결과의 규격, 매수, 리뷰 수, 묶음 구성, 최저가를 비교</t>
  </si>
  <si>
    <t>https://search.shopping.naver.com/search/all?query=%EC%9D%BC%ED%9A%8C%EC%9A%A9%20%EC%A2%85%EC%9D%B4%EC%BB%B5%20228ml%2050pcs</t>
  </si>
  <si>
    <t>네이버쇼핑에서 '일회용 종이컵 228ml 50pcs' 검색 결과의 평균가, 브랜드 분포, 대용량/묶음 판매가를 비교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</si>
</sst>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\x"/>
    <numFmt numFmtId="177" formatCode="0.0%"/>
    <numFmt numFmtId="178" formatCode="#,##0;[Red]\(#,##0\);\-"/>
  </numFmts>
  <fonts count="18">
    <font>
      <sz val="11"/>
      <color theme="1"/>
      <name val="맑은 고딕"/>
      <family val="2"/>
      <charset val="1"/>
    </font>
    <font>
      <b/>
      <sz val="14"/>
      <color rgb="FFFFFFFF"/>
      <name val="Cambria"/>
      <charset val="1"/>
    </font>
    <font>
      <b/>
      <sz val="14"/>
      <color rgb="FFFFFFFF"/>
      <name val="Noto Sans CJK SC"/>
      <family val="2"/>
    </font>
    <font>
      <b/>
      <sz val="11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b/>
      <sz val="11"/>
      <name val="Cambria"/>
      <family val="1"/>
    </font>
    <font>
      <i/>
      <sz val="11"/>
      <color rgb="FF7F6000"/>
      <name val="Noto Sans CJK SC"/>
      <family val="2"/>
    </font>
    <font>
      <i/>
      <sz val="11"/>
      <color rgb="FF7F6000"/>
      <name val="Cambria"/>
      <family val="1"/>
    </font>
    <font>
      <b/>
      <sz val="11"/>
      <color rgb="FFFFFFFF"/>
      <name val="Noto Sans CJK SC"/>
      <family val="2"/>
      <charset val="1"/>
    </font>
    <font>
      <b/>
      <sz val="11"/>
      <name val="맑은 고딕"/>
      <family val="3"/>
      <charset val="129"/>
    </font>
    <font>
      <b/>
      <sz val="11"/>
      <color rgb="FF000000"/>
      <name val="Noto Sans CJK SC"/>
      <family val="2"/>
      <charset val="1"/>
    </font>
    <font>
      <sz val="11"/>
      <color rgb="FF0000FF"/>
      <name val="맑은 고딕"/>
      <family val="3"/>
      <charset val="129"/>
    </font>
    <font>
      <u/>
      <sz val="11"/>
      <color rgb="FF0000EE"/>
      <name val="Noto Sans CJK SC"/>
      <family val="2"/>
      <charset val="1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FFFFFF"/>
      <name val="Cambria"/>
      <family val="1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F0D9"/>
        <bgColor rgb="FFF2F2F2"/>
      </patternFill>
    </fill>
    <fill>
      <patternFill patternType="solid">
        <fgColor rgb="FFF3F3F3"/>
        <bgColor rgb="FFF2F2F2"/>
      </patternFill>
    </fill>
    <fill>
      <patternFill patternType="solid">
        <fgColor rgb="FFF2F2F2"/>
        <bgColor rgb="FFF3F3F3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176" fontId="0" fillId="0" borderId="0" xfId="0" applyNumberFormat="1"/>
    <xf numFmtId="177" fontId="0" fillId="0" borderId="0" xfId="0" applyNumberFormat="1"/>
    <xf numFmtId="0" fontId="3" fillId="3" borderId="0" xfId="0" applyFont="1" applyFill="1"/>
    <xf numFmtId="0" fontId="0" fillId="4" borderId="0" xfId="0" applyFill="1"/>
    <xf numFmtId="0" fontId="6" fillId="3" borderId="0" xfId="0" applyFont="1" applyFill="1"/>
    <xf numFmtId="0" fontId="9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77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10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11" fillId="5" borderId="0" xfId="0" applyFont="1" applyFill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177" fontId="12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3" fontId="12" fillId="0" borderId="1" xfId="0" applyNumberFormat="1" applyFont="1" applyBorder="1" applyAlignment="1">
      <alignment vertical="top" wrapText="1"/>
    </xf>
    <xf numFmtId="2" fontId="12" fillId="0" borderId="1" xfId="0" applyNumberFormat="1" applyFont="1" applyBorder="1" applyAlignment="1">
      <alignment vertical="top" wrapText="1"/>
    </xf>
    <xf numFmtId="178" fontId="12" fillId="0" borderId="1" xfId="0" applyNumberFormat="1" applyFont="1" applyBorder="1" applyAlignment="1">
      <alignment vertical="top" wrapText="1"/>
    </xf>
    <xf numFmtId="178" fontId="0" fillId="0" borderId="1" xfId="0" applyNumberFormat="1" applyBorder="1" applyAlignment="1">
      <alignment vertical="top" wrapText="1"/>
    </xf>
    <xf numFmtId="177" fontId="12" fillId="0" borderId="1" xfId="0" applyNumberFormat="1" applyFont="1" applyBorder="1" applyAlignment="1">
      <alignment vertical="top" wrapText="1"/>
    </xf>
    <xf numFmtId="177" fontId="12" fillId="7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vertical="top" wrapText="1"/>
    </xf>
    <xf numFmtId="177" fontId="14" fillId="0" borderId="1" xfId="0" applyNumberFormat="1" applyFont="1" applyBorder="1" applyAlignment="1">
      <alignment vertical="top" wrapText="1"/>
    </xf>
    <xf numFmtId="0" fontId="15" fillId="0" borderId="1" xfId="0" applyFont="1" applyBorder="1" applyAlignment="1">
      <alignment horizontal="center" vertical="center"/>
    </xf>
    <xf numFmtId="178" fontId="14" fillId="0" borderId="1" xfId="0" applyNumberFormat="1" applyFont="1" applyBorder="1" applyAlignment="1">
      <alignment vertical="top" wrapText="1"/>
    </xf>
    <xf numFmtId="2" fontId="14" fillId="0" borderId="1" xfId="0" applyNumberFormat="1" applyFont="1" applyBorder="1" applyAlignment="1">
      <alignment vertical="top" wrapText="1"/>
    </xf>
  </cellXfs>
  <cellStyles count="1">
    <cellStyle name="표준" xfId="0" builtinId="0"/>
  </cellStyles>
  <dxfs count="9"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F3F3F3"/>
      <rgbColor rgb="FF808080"/>
      <rgbColor rgb="FF9999FF"/>
      <rgbColor rgb="FF993366"/>
      <rgbColor rgb="FFFFFFCC"/>
      <rgbColor rgb="FFE2F0D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F2F2F2"/>
      <rgbColor rgb="FFC6EFCE"/>
      <rgbColor rgb="FFFFFF99"/>
      <rgbColor rgb="FFFFF2CC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oupang.com/np/search?component=&amp;q=&#46160;&#44732;&#50868;%20&#51312;&#51076;&#45128;%20&#50416;&#47112;&#44592;%20&#48393;&#53804;%2050%2A55cm%2025pcs%20&#45824;&#54805;" TargetMode="External"/><Relationship Id="rId18" Type="http://schemas.openxmlformats.org/officeDocument/2006/relationships/hyperlink" Target="https://search.shopping.naver.com/search/all?query=PE%20&#50416;&#47112;&#44592;%20&#48516;&#47448;%20&#50416;&#47112;&#44592;%20&#48393;&#53804;%2050%2A60cm%2030%20&#44060;&#51077;" TargetMode="External"/><Relationship Id="rId26" Type="http://schemas.openxmlformats.org/officeDocument/2006/relationships/hyperlink" Target="https://search.shopping.naver.com/search/all?query=&#46989;&#49828;&#53552;%20&#51109;&#44049;%2030&#44060;" TargetMode="External"/><Relationship Id="rId39" Type="http://schemas.openxmlformats.org/officeDocument/2006/relationships/hyperlink" Target="https://www.coupang.com/np/search?component=&amp;q=&#54252;&#51064;&#53944;%20&#48652;&#47112;&#51060;&#53356;%20&#47017;%2025&#215;25m" TargetMode="External"/><Relationship Id="rId21" Type="http://schemas.openxmlformats.org/officeDocument/2006/relationships/hyperlink" Target="https://www.coupang.com/np/search?component=&amp;q=&#51068;&#54924;&#50857;%20&#51109;&#44049;%2020&#44060;%20&#47924;&#47308;%2010&#44060;" TargetMode="External"/><Relationship Id="rId34" Type="http://schemas.openxmlformats.org/officeDocument/2006/relationships/hyperlink" Target="https://search.shopping.naver.com/search/all?query=&#54252;&#51064;&#53944;%20&#48652;&#47112;&#51060;&#53356;%20&#47017;%2020&#215;20m" TargetMode="External"/><Relationship Id="rId42" Type="http://schemas.openxmlformats.org/officeDocument/2006/relationships/hyperlink" Target="https://search.shopping.naver.com/search/all?query=&#49885;&#54408;%20&#54540;&#46972;&#49828;&#54001;%20&#47017;%2025cm%2A30m" TargetMode="External"/><Relationship Id="rId47" Type="http://schemas.openxmlformats.org/officeDocument/2006/relationships/hyperlink" Target="https://www.coupang.com/np/search?component=&amp;q=1%20&#48156;%20&#54540;&#46972;&#49828;&#54001;%20&#44536;&#47495;%20700ml%2010pcs" TargetMode="External"/><Relationship Id="rId50" Type="http://schemas.openxmlformats.org/officeDocument/2006/relationships/hyperlink" Target="https://search.shopping.naver.com/search/all?query=1%20&#48156;%20&#54540;&#46972;&#49828;&#54001;%20&#44536;&#47495;%20450ml%2020pcs" TargetMode="External"/><Relationship Id="rId55" Type="http://schemas.openxmlformats.org/officeDocument/2006/relationships/hyperlink" Target="https://www.coupang.com/np/search?component=&amp;q=&#51068;&#54924;&#50857;%20&#54540;&#46972;&#49828;&#54001;%20&#52981;%20200ml%2050%20&#44060;" TargetMode="External"/><Relationship Id="rId7" Type="http://schemas.openxmlformats.org/officeDocument/2006/relationships/hyperlink" Target="https://www.coupang.com/np/search?component=&amp;q=&#51312;&#45180;&#54805;%20&#50416;&#47112;&#44592;%20&#48393;&#53804;%2045cm%2A60cm%2A30&#44060;" TargetMode="External"/><Relationship Id="rId2" Type="http://schemas.openxmlformats.org/officeDocument/2006/relationships/hyperlink" Target="https://search.shopping.naver.com/search/all?query=&#50416;&#47112;&#44592;%20&#48393;&#53804;%2045cm%2A50cm%2A30pcs" TargetMode="External"/><Relationship Id="rId16" Type="http://schemas.openxmlformats.org/officeDocument/2006/relationships/hyperlink" Target="https://search.shopping.naver.com/search/all?query=PE%20&#50416;&#47112;&#44592;%20&#48516;&#47448;%20&#50416;&#47112;&#44592;%20&#48393;&#53804;%2045%2A50cm%2030pcs" TargetMode="External"/><Relationship Id="rId29" Type="http://schemas.openxmlformats.org/officeDocument/2006/relationships/hyperlink" Target="https://www.coupang.com/np/search?component=&amp;q=&#53448;&#52265;&#49885;%20TPE%20&#51068;&#54924;&#50857;%20&#51109;&#44049;%20100&#44060;" TargetMode="External"/><Relationship Id="rId11" Type="http://schemas.openxmlformats.org/officeDocument/2006/relationships/hyperlink" Target="https://www.coupang.com/np/search?component=&amp;q=&#46160;&#44732;&#50868;%20&#51312;&#51076;&#45128;%20&#50416;&#47112;&#44592;%20&#48393;&#53804;%2045%2A50cm%2030pcs%20&#51089;&#51008;" TargetMode="External"/><Relationship Id="rId24" Type="http://schemas.openxmlformats.org/officeDocument/2006/relationships/hyperlink" Target="https://search.shopping.naver.com/search/all?query=&#51068;&#54924;&#50857;%20&#51109;&#44049;%2050&#44060;%20&#47924;&#47308;%2010&#44060;" TargetMode="External"/><Relationship Id="rId32" Type="http://schemas.openxmlformats.org/officeDocument/2006/relationships/hyperlink" Target="https://search.shopping.naver.com/search/all?query=&#54540;&#46972;&#49828;&#54001;%20&#47017;%2020cm%2A20m" TargetMode="External"/><Relationship Id="rId37" Type="http://schemas.openxmlformats.org/officeDocument/2006/relationships/hyperlink" Target="https://www.coupang.com/np/search?component=&amp;q=&#54540;&#46972;&#49828;&#54001;%20&#47017;%2030cm%2A20m" TargetMode="External"/><Relationship Id="rId40" Type="http://schemas.openxmlformats.org/officeDocument/2006/relationships/hyperlink" Target="https://search.shopping.naver.com/search/all?query=&#54252;&#51064;&#53944;%20&#48652;&#47112;&#51060;&#53356;%20&#47017;%2025&#215;25m" TargetMode="External"/><Relationship Id="rId45" Type="http://schemas.openxmlformats.org/officeDocument/2006/relationships/hyperlink" Target="https://www.coupang.com/np/search?component=&amp;q=&#54252;&#51064;&#53944;%20&#50532;%20&#48652;&#47112;&#51060;&#53356;%20&#47017;%2030&#215;25m" TargetMode="External"/><Relationship Id="rId53" Type="http://schemas.openxmlformats.org/officeDocument/2006/relationships/hyperlink" Target="https://www.coupang.com/np/search?component=&amp;q=&#54540;&#46972;&#49828;&#54001;%20&#52981;%20200ml%3B%2040%20&#44060;" TargetMode="External"/><Relationship Id="rId58" Type="http://schemas.openxmlformats.org/officeDocument/2006/relationships/hyperlink" Target="https://search.shopping.naver.com/search/all?query=&#44036;&#45800;&#54620;%20&#51333;&#51060;&#52981;%20245ml%3B%2040%20&#44060;" TargetMode="External"/><Relationship Id="rId5" Type="http://schemas.openxmlformats.org/officeDocument/2006/relationships/hyperlink" Target="https://www.coupang.com/np/search?component=&amp;q=&#51312;&#45180;&#54805;%20&#50416;&#47112;&#44592;%20&#48393;&#53804;%2045%2A60cm%201&#47204;%2A25pcs" TargetMode="External"/><Relationship Id="rId19" Type="http://schemas.openxmlformats.org/officeDocument/2006/relationships/hyperlink" Target="https://www.coupang.com/np/search?component=&amp;q=&#51312;&#51076;&#45128;%20&#50416;&#47112;&#44592;%20&#48393;&#53804;%2045%2A50%203%2A15pcs" TargetMode="External"/><Relationship Id="rId4" Type="http://schemas.openxmlformats.org/officeDocument/2006/relationships/hyperlink" Target="https://search.shopping.naver.com/search/all?query=&#54540;&#47019;%20&#50416;&#47112;&#44592;%20&#48393;&#53804;%2045&#215;55%2025&#51109;" TargetMode="External"/><Relationship Id="rId9" Type="http://schemas.openxmlformats.org/officeDocument/2006/relationships/hyperlink" Target="https://www.coupang.com/np/search?component=&amp;q=&#53945;&#45824;%20&#51312;&#45180;%20&#50416;&#47112;&#44592;%20&#48393;&#53804;%2050&#215;70%20cm%2030&#51109;" TargetMode="External"/><Relationship Id="rId14" Type="http://schemas.openxmlformats.org/officeDocument/2006/relationships/hyperlink" Target="https://search.shopping.naver.com/search/all?query=&#46160;&#44732;&#50868;%20&#51312;&#51076;&#45128;%20&#50416;&#47112;&#44592;%20&#48393;&#53804;%2050%2A55cm%2025pcs%20&#45824;&#54805;" TargetMode="External"/><Relationship Id="rId22" Type="http://schemas.openxmlformats.org/officeDocument/2006/relationships/hyperlink" Target="https://search.shopping.naver.com/search/all?query=&#51068;&#54924;&#50857;%20&#51109;&#44049;%2020&#44060;%20&#47924;&#47308;%2010&#44060;" TargetMode="External"/><Relationship Id="rId27" Type="http://schemas.openxmlformats.org/officeDocument/2006/relationships/hyperlink" Target="https://www.coupang.com/np/search?component=&amp;q=&#51068;&#54924;&#50857;%20&#51109;&#44049;%2850&#44060;%29" TargetMode="External"/><Relationship Id="rId30" Type="http://schemas.openxmlformats.org/officeDocument/2006/relationships/hyperlink" Target="https://search.shopping.naver.com/search/all?query=&#53448;&#52265;&#49885;%20TPE%20&#51068;&#54924;&#50857;%20&#51109;&#44049;%20100&#44060;" TargetMode="External"/><Relationship Id="rId35" Type="http://schemas.openxmlformats.org/officeDocument/2006/relationships/hyperlink" Target="https://www.coupang.com/np/search?component=&amp;q=&#54540;&#46972;&#49828;&#54001;%20&#47017;%2020cm%2A30m" TargetMode="External"/><Relationship Id="rId43" Type="http://schemas.openxmlformats.org/officeDocument/2006/relationships/hyperlink" Target="https://www.coupang.com/np/search?component=&amp;q=&#54540;&#46972;&#49828;&#54001;%20&#47017;%2020cm%2A50m" TargetMode="External"/><Relationship Id="rId48" Type="http://schemas.openxmlformats.org/officeDocument/2006/relationships/hyperlink" Target="https://search.shopping.naver.com/search/all?query=1%20&#48156;%20&#54540;&#46972;&#49828;&#54001;%20&#44536;&#47495;%20700ml%2010pcs" TargetMode="External"/><Relationship Id="rId56" Type="http://schemas.openxmlformats.org/officeDocument/2006/relationships/hyperlink" Target="https://search.shopping.naver.com/search/all?query=&#51068;&#54924;&#50857;%20&#54540;&#46972;&#49828;&#54001;%20&#52981;%20200ml%2050%20&#44060;" TargetMode="External"/><Relationship Id="rId8" Type="http://schemas.openxmlformats.org/officeDocument/2006/relationships/hyperlink" Target="https://search.shopping.naver.com/search/all?query=&#51312;&#45180;&#54805;%20&#50416;&#47112;&#44592;%20&#48393;&#53804;%2045cm%2A60cm%2A30&#44060;" TargetMode="External"/><Relationship Id="rId51" Type="http://schemas.openxmlformats.org/officeDocument/2006/relationships/hyperlink" Target="https://www.coupang.com/np/search?component=&amp;q=&#51068;&#54924;&#50857;%20&#51333;&#51060;%20&#44536;&#47495;%20550ml%2010pcs" TargetMode="External"/><Relationship Id="rId3" Type="http://schemas.openxmlformats.org/officeDocument/2006/relationships/hyperlink" Target="https://www.coupang.com/np/search?component=&amp;q=&#54540;&#47019;%20&#50416;&#47112;&#44592;%20&#48393;&#53804;%2045&#215;55%2025&#51109;" TargetMode="External"/><Relationship Id="rId12" Type="http://schemas.openxmlformats.org/officeDocument/2006/relationships/hyperlink" Target="https://search.shopping.naver.com/search/all?query=&#46160;&#44732;&#50868;%20&#51312;&#51076;&#45128;%20&#50416;&#47112;&#44592;%20&#48393;&#53804;%2045%2A50cm%2030pcs%20&#51089;&#51008;" TargetMode="External"/><Relationship Id="rId17" Type="http://schemas.openxmlformats.org/officeDocument/2006/relationships/hyperlink" Target="https://www.coupang.com/np/search?component=&amp;q=PE%20&#50416;&#47112;&#44592;%20&#48516;&#47448;%20&#50416;&#47112;&#44592;%20&#48393;&#53804;%2050%2A60cm%2030%20&#44060;&#51077;" TargetMode="External"/><Relationship Id="rId25" Type="http://schemas.openxmlformats.org/officeDocument/2006/relationships/hyperlink" Target="https://www.coupang.com/np/search?component=&amp;q=&#46989;&#49828;&#53552;%20&#51109;&#44049;%2030&#44060;" TargetMode="External"/><Relationship Id="rId33" Type="http://schemas.openxmlformats.org/officeDocument/2006/relationships/hyperlink" Target="https://www.coupang.com/np/search?component=&amp;q=&#54252;&#51064;&#53944;%20&#48652;&#47112;&#51060;&#53356;%20&#47017;%2020&#215;20m" TargetMode="External"/><Relationship Id="rId38" Type="http://schemas.openxmlformats.org/officeDocument/2006/relationships/hyperlink" Target="https://search.shopping.naver.com/search/all?query=&#54540;&#46972;&#49828;&#54001;%20&#47017;%2030cm%2A20m" TargetMode="External"/><Relationship Id="rId46" Type="http://schemas.openxmlformats.org/officeDocument/2006/relationships/hyperlink" Target="https://search.shopping.naver.com/search/all?query=&#54252;&#51064;&#53944;%20&#50532;%20&#48652;&#47112;&#51060;&#53356;%20&#47017;%2030&#215;25m" TargetMode="External"/><Relationship Id="rId59" Type="http://schemas.openxmlformats.org/officeDocument/2006/relationships/hyperlink" Target="https://www.coupang.com/np/search?component=&amp;q=&#51068;&#54924;&#50857;%20&#51333;&#51060;&#52981;%20228ml%2050pcs" TargetMode="External"/><Relationship Id="rId20" Type="http://schemas.openxmlformats.org/officeDocument/2006/relationships/hyperlink" Target="https://search.shopping.naver.com/search/all?query=&#51312;&#51076;&#45128;%20&#50416;&#47112;&#44592;%20&#48393;&#53804;%2045%2A50%203%2A15pcs" TargetMode="External"/><Relationship Id="rId41" Type="http://schemas.openxmlformats.org/officeDocument/2006/relationships/hyperlink" Target="https://www.coupang.com/np/search?component=&amp;q=&#49885;&#54408;%20&#54540;&#46972;&#49828;&#54001;%20&#47017;%2025cm%2A30m" TargetMode="External"/><Relationship Id="rId54" Type="http://schemas.openxmlformats.org/officeDocument/2006/relationships/hyperlink" Target="https://search.shopping.naver.com/search/all?query=&#54540;&#46972;&#49828;&#54001;%20&#52981;%20200ml%3B%2040%20&#44060;" TargetMode="External"/><Relationship Id="rId1" Type="http://schemas.openxmlformats.org/officeDocument/2006/relationships/hyperlink" Target="https://www.coupang.com/np/search?component=&amp;q=&#50416;&#47112;&#44592;%20&#48393;&#53804;%2045cm%2A50cm%2A30pcs" TargetMode="External"/><Relationship Id="rId6" Type="http://schemas.openxmlformats.org/officeDocument/2006/relationships/hyperlink" Target="https://search.shopping.naver.com/search/all?query=&#51312;&#45180;&#54805;%20&#50416;&#47112;&#44592;%20&#48393;&#53804;%2045%2A60cm%201&#47204;%2A25pcs" TargetMode="External"/><Relationship Id="rId15" Type="http://schemas.openxmlformats.org/officeDocument/2006/relationships/hyperlink" Target="https://www.coupang.com/np/search?component=&amp;q=PE%20&#50416;&#47112;&#44592;%20&#48516;&#47448;%20&#50416;&#47112;&#44592;%20&#48393;&#53804;%2045%2A50cm%2030pcs" TargetMode="External"/><Relationship Id="rId23" Type="http://schemas.openxmlformats.org/officeDocument/2006/relationships/hyperlink" Target="https://www.coupang.com/np/search?component=&amp;q=&#51068;&#54924;&#50857;%20&#51109;&#44049;%2050&#44060;%20&#47924;&#47308;%2010&#44060;" TargetMode="External"/><Relationship Id="rId28" Type="http://schemas.openxmlformats.org/officeDocument/2006/relationships/hyperlink" Target="https://search.shopping.naver.com/search/all?query=&#51068;&#54924;&#50857;%20&#51109;&#44049;%2850&#44060;%29" TargetMode="External"/><Relationship Id="rId36" Type="http://schemas.openxmlformats.org/officeDocument/2006/relationships/hyperlink" Target="https://search.shopping.naver.com/search/all?query=&#54540;&#46972;&#49828;&#54001;%20&#47017;%2020cm%2A30m" TargetMode="External"/><Relationship Id="rId49" Type="http://schemas.openxmlformats.org/officeDocument/2006/relationships/hyperlink" Target="https://www.coupang.com/np/search?component=&amp;q=1%20&#48156;%20&#54540;&#46972;&#49828;&#54001;%20&#44536;&#47495;%20450ml%2020pcs" TargetMode="External"/><Relationship Id="rId57" Type="http://schemas.openxmlformats.org/officeDocument/2006/relationships/hyperlink" Target="https://www.coupang.com/np/search?component=&amp;q=&#44036;&#45800;&#54620;%20&#51333;&#51060;&#52981;%20245ml%3B%2040%20&#44060;" TargetMode="External"/><Relationship Id="rId10" Type="http://schemas.openxmlformats.org/officeDocument/2006/relationships/hyperlink" Target="https://search.shopping.naver.com/search/all?query=&#53945;&#45824;%20&#51312;&#45180;%20&#50416;&#47112;&#44592;%20&#48393;&#53804;%2050&#215;70%20cm%2030&#51109;" TargetMode="External"/><Relationship Id="rId31" Type="http://schemas.openxmlformats.org/officeDocument/2006/relationships/hyperlink" Target="https://www.coupang.com/np/search?component=&amp;q=&#54540;&#46972;&#49828;&#54001;%20&#47017;%2020cm%2A20m" TargetMode="External"/><Relationship Id="rId44" Type="http://schemas.openxmlformats.org/officeDocument/2006/relationships/hyperlink" Target="https://search.shopping.naver.com/search/all?query=&#54540;&#46972;&#49828;&#54001;%20&#47017;%2020cm%2A50m" TargetMode="External"/><Relationship Id="rId52" Type="http://schemas.openxmlformats.org/officeDocument/2006/relationships/hyperlink" Target="https://search.shopping.naver.com/search/all?query=&#51068;&#54924;&#50857;%20&#51333;&#51060;%20&#44536;&#47495;%20550ml%2010pcs" TargetMode="External"/><Relationship Id="rId60" Type="http://schemas.openxmlformats.org/officeDocument/2006/relationships/hyperlink" Target="https://search.shopping.naver.com/search/all?query=&#51068;&#54924;&#50857;%20&#51333;&#51060;&#52981;%20228ml%2050p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3"/>
  <sheetViews>
    <sheetView showGridLines="0" tabSelected="1" zoomScaleNormal="100" workbookViewId="0">
      <pane ySplit="3" topLeftCell="A4" activePane="bottomLeft" state="frozen"/>
      <selection sqref="A1:F1"/>
      <selection pane="bottomLeft" activeCell="I6" sqref="I6"/>
    </sheetView>
  </sheetViews>
  <sheetFormatPr defaultColWidth="8.625" defaultRowHeight="16.5" customHeight="1"/>
  <cols>
    <col min="1" max="1" width="12" customWidth="1"/>
    <col min="2" max="2" width="10" customWidth="1"/>
    <col min="3" max="3" width="34" customWidth="1"/>
    <col min="4" max="4" width="10" customWidth="1"/>
    <col min="5" max="5" width="8" customWidth="1"/>
    <col min="6" max="6" width="12" customWidth="1"/>
    <col min="7" max="7" width="8" customWidth="1"/>
    <col min="8" max="8" width="12" customWidth="1"/>
    <col min="9" max="9" width="14" customWidth="1"/>
    <col min="10" max="10" width="12" customWidth="1"/>
    <col min="11" max="12" width="14" customWidth="1"/>
    <col min="13" max="13" width="15" customWidth="1"/>
    <col min="14" max="14" width="16" customWidth="1"/>
    <col min="15" max="15" width="12" customWidth="1"/>
    <col min="16" max="16" width="14" customWidth="1"/>
    <col min="17" max="17" width="12" customWidth="1"/>
    <col min="18" max="18" width="10" customWidth="1"/>
    <col min="19" max="19" width="14" customWidth="1"/>
    <col min="20" max="20" width="16" customWidth="1"/>
    <col min="21" max="23" width="14" customWidth="1"/>
    <col min="24" max="24" width="16" customWidth="1"/>
    <col min="25" max="25" width="18" customWidth="1"/>
    <col min="26" max="26" width="55.25" customWidth="1"/>
    <col min="27" max="27" width="12" customWidth="1"/>
    <col min="28" max="28" width="108" customWidth="1"/>
    <col min="29" max="29" width="40" customWidth="1"/>
    <col min="31" max="31" width="95.5" customWidth="1"/>
    <col min="32" max="32" width="55.625" customWidth="1"/>
    <col min="33" max="34" width="14" customWidth="1"/>
    <col min="35" max="35" width="12" customWidth="1"/>
    <col min="36" max="36" width="14" customWidth="1"/>
    <col min="37" max="37" width="16" customWidth="1"/>
  </cols>
  <sheetData>
    <row r="1" spans="1:37" ht="16.5" customHeight="1">
      <c r="A1" s="2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3" t="s">
        <v>86</v>
      </c>
      <c r="AB1" s="3"/>
      <c r="AC1" s="3"/>
      <c r="AD1" s="3"/>
      <c r="AE1" s="3"/>
      <c r="AF1" s="3"/>
    </row>
    <row r="2" spans="1:37" ht="16.5" customHeight="1">
      <c r="A2" s="24" t="s">
        <v>87</v>
      </c>
      <c r="B2" s="2" t="s">
        <v>88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5" t="s">
        <v>6</v>
      </c>
      <c r="AB2" s="26">
        <v>2.4</v>
      </c>
      <c r="AC2" s="25" t="s">
        <v>7</v>
      </c>
      <c r="AD2" s="27">
        <v>0.1</v>
      </c>
      <c r="AE2" s="25" t="s">
        <v>8</v>
      </c>
      <c r="AF2" s="27">
        <v>0.9</v>
      </c>
    </row>
    <row r="3" spans="1:37" ht="33" customHeight="1">
      <c r="A3" s="16" t="s">
        <v>14</v>
      </c>
      <c r="B3" s="16" t="s">
        <v>15</v>
      </c>
      <c r="C3" s="16" t="s">
        <v>16</v>
      </c>
      <c r="D3" s="16" t="s">
        <v>89</v>
      </c>
      <c r="E3" s="16" t="s">
        <v>90</v>
      </c>
      <c r="F3" s="16" t="s">
        <v>91</v>
      </c>
      <c r="G3" s="16" t="s">
        <v>92</v>
      </c>
      <c r="H3" s="16" t="s">
        <v>93</v>
      </c>
      <c r="I3" s="16" t="s">
        <v>94</v>
      </c>
      <c r="J3" s="16" t="s">
        <v>95</v>
      </c>
      <c r="K3" s="16" t="s">
        <v>96</v>
      </c>
      <c r="L3" s="16" t="s">
        <v>97</v>
      </c>
      <c r="M3" s="16" t="s">
        <v>98</v>
      </c>
      <c r="N3" s="16" t="s">
        <v>99</v>
      </c>
      <c r="O3" s="16" t="s">
        <v>100</v>
      </c>
      <c r="P3" s="16" t="s">
        <v>101</v>
      </c>
      <c r="Q3" s="16" t="s">
        <v>102</v>
      </c>
      <c r="R3" s="16" t="s">
        <v>103</v>
      </c>
      <c r="S3" s="16" t="s">
        <v>104</v>
      </c>
      <c r="T3" s="16" t="s">
        <v>105</v>
      </c>
      <c r="U3" s="16" t="s">
        <v>106</v>
      </c>
      <c r="V3" s="16" t="s">
        <v>107</v>
      </c>
      <c r="W3" s="16" t="s">
        <v>108</v>
      </c>
      <c r="X3" s="16" t="s">
        <v>109</v>
      </c>
      <c r="Y3" s="16" t="s">
        <v>110</v>
      </c>
      <c r="Z3" s="16" t="s">
        <v>111</v>
      </c>
      <c r="AA3" s="16" t="s">
        <v>112</v>
      </c>
      <c r="AB3" s="16" t="s">
        <v>113</v>
      </c>
      <c r="AC3" s="16" t="s">
        <v>114</v>
      </c>
      <c r="AD3" s="16" t="s">
        <v>115</v>
      </c>
      <c r="AE3" s="16" t="s">
        <v>116</v>
      </c>
      <c r="AF3" s="16" t="s">
        <v>117</v>
      </c>
      <c r="AG3" s="16" t="s">
        <v>118</v>
      </c>
      <c r="AH3" s="16" t="s">
        <v>18</v>
      </c>
      <c r="AI3" s="16" t="s">
        <v>17</v>
      </c>
      <c r="AJ3" s="16" t="s">
        <v>19</v>
      </c>
      <c r="AK3" s="16" t="s">
        <v>20</v>
      </c>
    </row>
    <row r="4" spans="1:37" ht="49.5" customHeight="1">
      <c r="A4" s="28" t="s">
        <v>21</v>
      </c>
      <c r="B4" s="29" t="s">
        <v>22</v>
      </c>
      <c r="C4" s="29" t="s">
        <v>23</v>
      </c>
      <c r="D4" s="30">
        <v>30</v>
      </c>
      <c r="E4" s="28" t="s">
        <v>119</v>
      </c>
      <c r="F4" s="31">
        <v>100</v>
      </c>
      <c r="G4" s="30">
        <v>7</v>
      </c>
      <c r="H4" s="30">
        <f t="shared" ref="H4:H33" si="0">D4*G4</f>
        <v>210</v>
      </c>
      <c r="I4" s="32">
        <v>1.71428571428571</v>
      </c>
      <c r="J4" s="33">
        <v>190</v>
      </c>
      <c r="K4" s="34">
        <f t="shared" ref="K4:K33" si="1">I4*J4</f>
        <v>325.71428571428487</v>
      </c>
      <c r="L4" s="33">
        <f t="shared" ref="L4:L33" si="2">ROUND(K4*$AB$2,0)</f>
        <v>782</v>
      </c>
      <c r="M4" s="34">
        <f t="shared" ref="M4:M33" si="3">L4*G4</f>
        <v>5474</v>
      </c>
      <c r="N4" s="33">
        <v>12700</v>
      </c>
      <c r="O4" s="35">
        <v>0.18</v>
      </c>
      <c r="P4" s="34">
        <f t="shared" ref="P4:P33" si="4">N4*O4</f>
        <v>2286</v>
      </c>
      <c r="Q4" s="33">
        <v>2900</v>
      </c>
      <c r="R4" s="35">
        <v>0.1</v>
      </c>
      <c r="S4" s="34">
        <f t="shared" ref="S4:S33" si="5">N4*R4/1.1</f>
        <v>1154.5454545454545</v>
      </c>
      <c r="T4" s="34">
        <f t="shared" ref="T4:T33" si="6">P4+Q4+S4</f>
        <v>6340.545454545454</v>
      </c>
      <c r="U4" s="36">
        <v>0.1</v>
      </c>
      <c r="V4" s="34">
        <f t="shared" ref="V4:V33" si="7">N4*AG4</f>
        <v>1270</v>
      </c>
      <c r="W4" s="34">
        <f t="shared" ref="W4:W33" si="8">N4-M4-T4</f>
        <v>885.45454545454595</v>
      </c>
      <c r="X4" s="34">
        <f t="shared" ref="X4:X33" si="9">W4-V4</f>
        <v>-384.54545454545405</v>
      </c>
      <c r="Y4" s="34">
        <f t="shared" ref="Y4:Y33" si="10">N4-P4-Q4-S4-V4</f>
        <v>5089.454545454546</v>
      </c>
      <c r="Z4" s="1" t="s">
        <v>120</v>
      </c>
      <c r="AA4" s="37" t="s">
        <v>121</v>
      </c>
      <c r="AB4" s="28" t="s">
        <v>122</v>
      </c>
      <c r="AC4" s="29" t="s">
        <v>123</v>
      </c>
      <c r="AD4" s="37" t="s">
        <v>124</v>
      </c>
      <c r="AE4" s="28" t="s">
        <v>125</v>
      </c>
      <c r="AF4" s="29" t="s">
        <v>126</v>
      </c>
      <c r="AG4" s="38">
        <f t="shared" ref="AG4:AG33" si="11">IF(U4="",$AD$2,U4)</f>
        <v>0.1</v>
      </c>
      <c r="AH4" s="38">
        <f t="shared" ref="AH4:AH33" si="12">IFERROR(W4/V4,0)</f>
        <v>0.6972083035075165</v>
      </c>
      <c r="AI4" s="39" t="str">
        <f t="shared" ref="AI4:AI33" si="13">IF(AH4&gt;=1,"GO",IF(AH4&gt;=$AF$2,"조건부","NO"))</f>
        <v>NO</v>
      </c>
      <c r="AJ4" s="40">
        <f t="shared" ref="AJ4:AJ33" si="14">MAX(V4-W4,0)</f>
        <v>384.54545454545405</v>
      </c>
      <c r="AK4" s="41">
        <f t="shared" ref="AK4:AK33" si="15">IFERROR(Y4/G4/J4/$AB$2,0)</f>
        <v>1.5944406470722263</v>
      </c>
    </row>
    <row r="5" spans="1:37" ht="49.5" customHeight="1">
      <c r="A5" s="28" t="s">
        <v>24</v>
      </c>
      <c r="B5" s="29" t="s">
        <v>22</v>
      </c>
      <c r="C5" s="29" t="s">
        <v>25</v>
      </c>
      <c r="D5" s="30">
        <v>25</v>
      </c>
      <c r="E5" s="28" t="s">
        <v>119</v>
      </c>
      <c r="F5" s="31">
        <v>100</v>
      </c>
      <c r="G5" s="30">
        <f t="shared" ref="G5:G13" si="16">ROUNDUP(F5/D5,0)</f>
        <v>4</v>
      </c>
      <c r="H5" s="30">
        <f t="shared" si="0"/>
        <v>100</v>
      </c>
      <c r="I5" s="32">
        <v>1.71428571428571</v>
      </c>
      <c r="J5" s="33">
        <v>190</v>
      </c>
      <c r="K5" s="34">
        <f t="shared" si="1"/>
        <v>325.71428571428487</v>
      </c>
      <c r="L5" s="33">
        <f t="shared" si="2"/>
        <v>782</v>
      </c>
      <c r="M5" s="34">
        <f t="shared" si="3"/>
        <v>3128</v>
      </c>
      <c r="N5" s="33">
        <v>9800</v>
      </c>
      <c r="O5" s="35">
        <v>0.18</v>
      </c>
      <c r="P5" s="34">
        <f t="shared" si="4"/>
        <v>1764</v>
      </c>
      <c r="Q5" s="33">
        <v>2900</v>
      </c>
      <c r="R5" s="35">
        <v>0.1</v>
      </c>
      <c r="S5" s="34">
        <f t="shared" si="5"/>
        <v>890.90909090909088</v>
      </c>
      <c r="T5" s="34">
        <f t="shared" si="6"/>
        <v>5554.909090909091</v>
      </c>
      <c r="U5" s="36">
        <v>0.1</v>
      </c>
      <c r="V5" s="34">
        <f t="shared" si="7"/>
        <v>980</v>
      </c>
      <c r="W5" s="34">
        <f t="shared" si="8"/>
        <v>1117.090909090909</v>
      </c>
      <c r="X5" s="34">
        <f t="shared" si="9"/>
        <v>137.09090909090901</v>
      </c>
      <c r="Y5" s="34">
        <f t="shared" si="10"/>
        <v>3265.090909090909</v>
      </c>
      <c r="Z5" s="1"/>
      <c r="AA5" s="37" t="s">
        <v>121</v>
      </c>
      <c r="AB5" s="28" t="s">
        <v>127</v>
      </c>
      <c r="AC5" s="29" t="s">
        <v>128</v>
      </c>
      <c r="AD5" s="37" t="s">
        <v>124</v>
      </c>
      <c r="AE5" s="28" t="s">
        <v>129</v>
      </c>
      <c r="AF5" s="29" t="s">
        <v>130</v>
      </c>
      <c r="AG5" s="38">
        <f t="shared" si="11"/>
        <v>0.1</v>
      </c>
      <c r="AH5" s="38">
        <f t="shared" si="12"/>
        <v>1.1398886827458254</v>
      </c>
      <c r="AI5" s="39" t="str">
        <f t="shared" si="13"/>
        <v>GO</v>
      </c>
      <c r="AJ5" s="40">
        <f t="shared" si="14"/>
        <v>0</v>
      </c>
      <c r="AK5" s="41">
        <f t="shared" si="15"/>
        <v>1.7900717703349283</v>
      </c>
    </row>
    <row r="6" spans="1:37" ht="49.5" customHeight="1">
      <c r="A6" s="28" t="s">
        <v>26</v>
      </c>
      <c r="B6" s="29" t="s">
        <v>22</v>
      </c>
      <c r="C6" s="29" t="s">
        <v>27</v>
      </c>
      <c r="D6" s="30">
        <v>25</v>
      </c>
      <c r="E6" s="28" t="s">
        <v>119</v>
      </c>
      <c r="F6" s="31">
        <v>100</v>
      </c>
      <c r="G6" s="30">
        <f t="shared" si="16"/>
        <v>4</v>
      </c>
      <c r="H6" s="30">
        <f t="shared" si="0"/>
        <v>100</v>
      </c>
      <c r="I6" s="32">
        <v>2.21428571428571</v>
      </c>
      <c r="J6" s="33">
        <v>190</v>
      </c>
      <c r="K6" s="34">
        <f t="shared" si="1"/>
        <v>420.71428571428487</v>
      </c>
      <c r="L6" s="33">
        <f t="shared" si="2"/>
        <v>1010</v>
      </c>
      <c r="M6" s="34">
        <f t="shared" si="3"/>
        <v>4040</v>
      </c>
      <c r="N6" s="33">
        <v>5800</v>
      </c>
      <c r="O6" s="35">
        <v>0.18</v>
      </c>
      <c r="P6" s="34">
        <f t="shared" si="4"/>
        <v>1044</v>
      </c>
      <c r="Q6" s="33">
        <v>2900</v>
      </c>
      <c r="R6" s="35">
        <v>0.1</v>
      </c>
      <c r="S6" s="34">
        <f t="shared" si="5"/>
        <v>527.27272727272725</v>
      </c>
      <c r="T6" s="34">
        <f t="shared" si="6"/>
        <v>4471.272727272727</v>
      </c>
      <c r="U6" s="36">
        <v>0.1</v>
      </c>
      <c r="V6" s="34">
        <f t="shared" si="7"/>
        <v>580</v>
      </c>
      <c r="W6" s="34">
        <f t="shared" si="8"/>
        <v>-2711.272727272727</v>
      </c>
      <c r="X6" s="34">
        <f t="shared" si="9"/>
        <v>-3291.272727272727</v>
      </c>
      <c r="Y6" s="34">
        <f t="shared" si="10"/>
        <v>748.72727272727275</v>
      </c>
      <c r="Z6" s="1"/>
      <c r="AA6" s="37" t="s">
        <v>121</v>
      </c>
      <c r="AB6" s="28" t="s">
        <v>131</v>
      </c>
      <c r="AC6" s="29" t="s">
        <v>132</v>
      </c>
      <c r="AD6" s="37" t="s">
        <v>124</v>
      </c>
      <c r="AE6" s="28" t="s">
        <v>133</v>
      </c>
      <c r="AF6" s="29" t="s">
        <v>134</v>
      </c>
      <c r="AG6" s="38">
        <f t="shared" si="11"/>
        <v>0.1</v>
      </c>
      <c r="AH6" s="38">
        <f t="shared" si="12"/>
        <v>-4.6746081504702186</v>
      </c>
      <c r="AI6" s="39" t="str">
        <f t="shared" si="13"/>
        <v>NO</v>
      </c>
      <c r="AJ6" s="40">
        <f t="shared" si="14"/>
        <v>3291.272727272727</v>
      </c>
      <c r="AK6" s="41">
        <f t="shared" si="15"/>
        <v>0.41048644338118023</v>
      </c>
    </row>
    <row r="7" spans="1:37" ht="49.5" customHeight="1">
      <c r="A7" s="28" t="s">
        <v>28</v>
      </c>
      <c r="B7" s="29" t="s">
        <v>22</v>
      </c>
      <c r="C7" s="29" t="s">
        <v>29</v>
      </c>
      <c r="D7" s="30">
        <v>30</v>
      </c>
      <c r="E7" s="28" t="s">
        <v>119</v>
      </c>
      <c r="F7" s="31">
        <v>100</v>
      </c>
      <c r="G7" s="30">
        <f t="shared" si="16"/>
        <v>4</v>
      </c>
      <c r="H7" s="30">
        <f t="shared" si="0"/>
        <v>120</v>
      </c>
      <c r="I7" s="32">
        <v>3.5142857142857098</v>
      </c>
      <c r="J7" s="33">
        <v>190</v>
      </c>
      <c r="K7" s="34">
        <f t="shared" si="1"/>
        <v>667.71428571428487</v>
      </c>
      <c r="L7" s="33">
        <f t="shared" si="2"/>
        <v>1603</v>
      </c>
      <c r="M7" s="34">
        <f t="shared" si="3"/>
        <v>6412</v>
      </c>
      <c r="N7" s="33">
        <v>6400</v>
      </c>
      <c r="O7" s="35">
        <v>0.18</v>
      </c>
      <c r="P7" s="34">
        <f t="shared" si="4"/>
        <v>1152</v>
      </c>
      <c r="Q7" s="33">
        <v>2900</v>
      </c>
      <c r="R7" s="35">
        <v>0.1</v>
      </c>
      <c r="S7" s="34">
        <f t="shared" si="5"/>
        <v>581.81818181818176</v>
      </c>
      <c r="T7" s="34">
        <f t="shared" si="6"/>
        <v>4633.818181818182</v>
      </c>
      <c r="U7" s="36">
        <v>0.1</v>
      </c>
      <c r="V7" s="34">
        <f t="shared" si="7"/>
        <v>640</v>
      </c>
      <c r="W7" s="34">
        <f t="shared" si="8"/>
        <v>-4645.818181818182</v>
      </c>
      <c r="X7" s="34">
        <f t="shared" si="9"/>
        <v>-5285.818181818182</v>
      </c>
      <c r="Y7" s="34">
        <f t="shared" si="10"/>
        <v>1126.1818181818182</v>
      </c>
      <c r="Z7" s="1"/>
      <c r="AA7" s="37" t="s">
        <v>121</v>
      </c>
      <c r="AB7" s="28" t="s">
        <v>135</v>
      </c>
      <c r="AC7" s="29" t="s">
        <v>136</v>
      </c>
      <c r="AD7" s="37" t="s">
        <v>124</v>
      </c>
      <c r="AE7" s="28" t="s">
        <v>137</v>
      </c>
      <c r="AF7" s="29" t="s">
        <v>138</v>
      </c>
      <c r="AG7" s="38">
        <f t="shared" si="11"/>
        <v>0.1</v>
      </c>
      <c r="AH7" s="38">
        <f t="shared" si="12"/>
        <v>-7.2590909090909097</v>
      </c>
      <c r="AI7" s="39" t="str">
        <f t="shared" si="13"/>
        <v>NO</v>
      </c>
      <c r="AJ7" s="40">
        <f t="shared" si="14"/>
        <v>5285.818181818182</v>
      </c>
      <c r="AK7" s="41">
        <f t="shared" si="15"/>
        <v>0.61742424242424254</v>
      </c>
    </row>
    <row r="8" spans="1:37" ht="49.5" customHeight="1">
      <c r="A8" s="28" t="s">
        <v>30</v>
      </c>
      <c r="B8" s="29" t="s">
        <v>22</v>
      </c>
      <c r="C8" s="29" t="s">
        <v>31</v>
      </c>
      <c r="D8" s="30">
        <v>30</v>
      </c>
      <c r="E8" s="28" t="s">
        <v>119</v>
      </c>
      <c r="F8" s="31">
        <v>100</v>
      </c>
      <c r="G8" s="30">
        <f t="shared" si="16"/>
        <v>4</v>
      </c>
      <c r="H8" s="30">
        <f t="shared" si="0"/>
        <v>120</v>
      </c>
      <c r="I8" s="32">
        <v>4.0142857142857098</v>
      </c>
      <c r="J8" s="33">
        <v>190</v>
      </c>
      <c r="K8" s="34">
        <f t="shared" si="1"/>
        <v>762.71428571428487</v>
      </c>
      <c r="L8" s="33">
        <f t="shared" si="2"/>
        <v>1831</v>
      </c>
      <c r="M8" s="34">
        <f t="shared" si="3"/>
        <v>7324</v>
      </c>
      <c r="N8" s="33">
        <v>13000</v>
      </c>
      <c r="O8" s="35">
        <v>0.18</v>
      </c>
      <c r="P8" s="34">
        <f t="shared" si="4"/>
        <v>2340</v>
      </c>
      <c r="Q8" s="33">
        <v>2900</v>
      </c>
      <c r="R8" s="35">
        <v>0.1</v>
      </c>
      <c r="S8" s="34">
        <f t="shared" si="5"/>
        <v>1181.8181818181818</v>
      </c>
      <c r="T8" s="34">
        <f t="shared" si="6"/>
        <v>6421.818181818182</v>
      </c>
      <c r="U8" s="36">
        <v>0.1</v>
      </c>
      <c r="V8" s="34">
        <f t="shared" si="7"/>
        <v>1300</v>
      </c>
      <c r="W8" s="34">
        <f t="shared" si="8"/>
        <v>-745.81818181818198</v>
      </c>
      <c r="X8" s="34">
        <f t="shared" si="9"/>
        <v>-2045.818181818182</v>
      </c>
      <c r="Y8" s="34">
        <f t="shared" si="10"/>
        <v>5278.181818181818</v>
      </c>
      <c r="Z8" s="1"/>
      <c r="AA8" s="37" t="s">
        <v>121</v>
      </c>
      <c r="AB8" s="28" t="s">
        <v>139</v>
      </c>
      <c r="AC8" s="29" t="s">
        <v>140</v>
      </c>
      <c r="AD8" s="37" t="s">
        <v>124</v>
      </c>
      <c r="AE8" s="28" t="s">
        <v>141</v>
      </c>
      <c r="AF8" s="29" t="s">
        <v>142</v>
      </c>
      <c r="AG8" s="38">
        <f t="shared" si="11"/>
        <v>0.1</v>
      </c>
      <c r="AH8" s="38">
        <f t="shared" si="12"/>
        <v>-0.57370629370629378</v>
      </c>
      <c r="AI8" s="39" t="str">
        <f t="shared" si="13"/>
        <v>NO</v>
      </c>
      <c r="AJ8" s="40">
        <f t="shared" si="14"/>
        <v>2045.818181818182</v>
      </c>
      <c r="AK8" s="41">
        <f t="shared" si="15"/>
        <v>2.8937400318979267</v>
      </c>
    </row>
    <row r="9" spans="1:37" ht="49.5" customHeight="1">
      <c r="A9" s="28" t="s">
        <v>32</v>
      </c>
      <c r="B9" s="29" t="s">
        <v>22</v>
      </c>
      <c r="C9" s="29" t="s">
        <v>33</v>
      </c>
      <c r="D9" s="30">
        <v>30</v>
      </c>
      <c r="E9" s="28" t="s">
        <v>119</v>
      </c>
      <c r="F9" s="31">
        <v>100</v>
      </c>
      <c r="G9" s="30">
        <f t="shared" si="16"/>
        <v>4</v>
      </c>
      <c r="H9" s="30">
        <f t="shared" si="0"/>
        <v>120</v>
      </c>
      <c r="I9" s="32">
        <v>4.2571428571428598</v>
      </c>
      <c r="J9" s="33">
        <v>190</v>
      </c>
      <c r="K9" s="34">
        <f t="shared" si="1"/>
        <v>808.85714285714334</v>
      </c>
      <c r="L9" s="33">
        <f t="shared" si="2"/>
        <v>1941</v>
      </c>
      <c r="M9" s="34">
        <f t="shared" si="3"/>
        <v>7764</v>
      </c>
      <c r="N9" s="33">
        <v>13000</v>
      </c>
      <c r="O9" s="35">
        <v>0.18</v>
      </c>
      <c r="P9" s="34">
        <f t="shared" si="4"/>
        <v>2340</v>
      </c>
      <c r="Q9" s="33">
        <v>2900</v>
      </c>
      <c r="R9" s="35">
        <v>0.1</v>
      </c>
      <c r="S9" s="34">
        <f t="shared" si="5"/>
        <v>1181.8181818181818</v>
      </c>
      <c r="T9" s="34">
        <f t="shared" si="6"/>
        <v>6421.818181818182</v>
      </c>
      <c r="U9" s="36">
        <v>0.1</v>
      </c>
      <c r="V9" s="34">
        <f t="shared" si="7"/>
        <v>1300</v>
      </c>
      <c r="W9" s="34">
        <f t="shared" si="8"/>
        <v>-1185.818181818182</v>
      </c>
      <c r="X9" s="34">
        <f t="shared" si="9"/>
        <v>-2485.818181818182</v>
      </c>
      <c r="Y9" s="34">
        <f t="shared" si="10"/>
        <v>5278.181818181818</v>
      </c>
      <c r="Z9" s="1"/>
      <c r="AA9" s="37" t="s">
        <v>121</v>
      </c>
      <c r="AB9" s="28" t="s">
        <v>143</v>
      </c>
      <c r="AC9" s="29" t="s">
        <v>144</v>
      </c>
      <c r="AD9" s="37" t="s">
        <v>124</v>
      </c>
      <c r="AE9" s="28" t="s">
        <v>145</v>
      </c>
      <c r="AF9" s="29" t="s">
        <v>146</v>
      </c>
      <c r="AG9" s="38">
        <f t="shared" si="11"/>
        <v>0.1</v>
      </c>
      <c r="AH9" s="38">
        <f t="shared" si="12"/>
        <v>-0.91216783216783226</v>
      </c>
      <c r="AI9" s="39" t="str">
        <f t="shared" si="13"/>
        <v>NO</v>
      </c>
      <c r="AJ9" s="40">
        <f t="shared" si="14"/>
        <v>2485.818181818182</v>
      </c>
      <c r="AK9" s="41">
        <f t="shared" si="15"/>
        <v>2.8937400318979267</v>
      </c>
    </row>
    <row r="10" spans="1:37" ht="49.5" customHeight="1">
      <c r="A10" s="28" t="s">
        <v>34</v>
      </c>
      <c r="B10" s="29" t="s">
        <v>22</v>
      </c>
      <c r="C10" s="29" t="s">
        <v>35</v>
      </c>
      <c r="D10" s="30">
        <v>25</v>
      </c>
      <c r="E10" s="28" t="s">
        <v>119</v>
      </c>
      <c r="F10" s="31">
        <v>100</v>
      </c>
      <c r="G10" s="30">
        <f t="shared" si="16"/>
        <v>4</v>
      </c>
      <c r="H10" s="30">
        <f t="shared" si="0"/>
        <v>100</v>
      </c>
      <c r="I10" s="32">
        <v>4.2571428571428598</v>
      </c>
      <c r="J10" s="33">
        <v>190</v>
      </c>
      <c r="K10" s="34">
        <f t="shared" si="1"/>
        <v>808.85714285714334</v>
      </c>
      <c r="L10" s="33">
        <f t="shared" si="2"/>
        <v>1941</v>
      </c>
      <c r="M10" s="34">
        <f t="shared" si="3"/>
        <v>7764</v>
      </c>
      <c r="N10" s="33">
        <v>14000</v>
      </c>
      <c r="O10" s="35">
        <v>0.18</v>
      </c>
      <c r="P10" s="34">
        <f t="shared" si="4"/>
        <v>2520</v>
      </c>
      <c r="Q10" s="33">
        <v>2900</v>
      </c>
      <c r="R10" s="35">
        <v>0.1</v>
      </c>
      <c r="S10" s="34">
        <f t="shared" si="5"/>
        <v>1272.7272727272725</v>
      </c>
      <c r="T10" s="34">
        <f t="shared" si="6"/>
        <v>6692.7272727272721</v>
      </c>
      <c r="U10" s="36">
        <v>0.1</v>
      </c>
      <c r="V10" s="34">
        <f t="shared" si="7"/>
        <v>1400</v>
      </c>
      <c r="W10" s="34">
        <f t="shared" si="8"/>
        <v>-456.72727272727207</v>
      </c>
      <c r="X10" s="34">
        <f t="shared" si="9"/>
        <v>-1856.7272727272721</v>
      </c>
      <c r="Y10" s="34">
        <f t="shared" si="10"/>
        <v>5907.2727272727279</v>
      </c>
      <c r="Z10" s="1"/>
      <c r="AA10" s="37" t="s">
        <v>121</v>
      </c>
      <c r="AB10" s="28" t="s">
        <v>147</v>
      </c>
      <c r="AC10" s="29" t="s">
        <v>148</v>
      </c>
      <c r="AD10" s="37" t="s">
        <v>124</v>
      </c>
      <c r="AE10" s="28" t="s">
        <v>149</v>
      </c>
      <c r="AF10" s="29" t="s">
        <v>150</v>
      </c>
      <c r="AG10" s="38">
        <f t="shared" si="11"/>
        <v>0.1</v>
      </c>
      <c r="AH10" s="38">
        <f t="shared" si="12"/>
        <v>-0.32623376623376577</v>
      </c>
      <c r="AI10" s="39" t="str">
        <f t="shared" si="13"/>
        <v>NO</v>
      </c>
      <c r="AJ10" s="40">
        <f t="shared" si="14"/>
        <v>1856.7272727272721</v>
      </c>
      <c r="AK10" s="41">
        <f t="shared" si="15"/>
        <v>3.2386363636363642</v>
      </c>
    </row>
    <row r="11" spans="1:37" ht="49.5" customHeight="1">
      <c r="A11" s="28" t="s">
        <v>36</v>
      </c>
      <c r="B11" s="29" t="s">
        <v>22</v>
      </c>
      <c r="C11" s="28" t="s">
        <v>151</v>
      </c>
      <c r="D11" s="30">
        <v>30</v>
      </c>
      <c r="E11" s="28" t="s">
        <v>119</v>
      </c>
      <c r="F11" s="31">
        <v>100</v>
      </c>
      <c r="G11" s="30">
        <f t="shared" si="16"/>
        <v>4</v>
      </c>
      <c r="H11" s="30">
        <f t="shared" si="0"/>
        <v>120</v>
      </c>
      <c r="I11" s="32">
        <v>2.21428571428571</v>
      </c>
      <c r="J11" s="33">
        <v>190</v>
      </c>
      <c r="K11" s="34">
        <f t="shared" si="1"/>
        <v>420.71428571428487</v>
      </c>
      <c r="L11" s="33">
        <f t="shared" si="2"/>
        <v>1010</v>
      </c>
      <c r="M11" s="34">
        <f t="shared" si="3"/>
        <v>4040</v>
      </c>
      <c r="N11" s="33">
        <v>12000</v>
      </c>
      <c r="O11" s="35">
        <v>0.18</v>
      </c>
      <c r="P11" s="34">
        <f t="shared" si="4"/>
        <v>2160</v>
      </c>
      <c r="Q11" s="33">
        <v>2900</v>
      </c>
      <c r="R11" s="35">
        <v>0.1</v>
      </c>
      <c r="S11" s="34">
        <f t="shared" si="5"/>
        <v>1090.9090909090908</v>
      </c>
      <c r="T11" s="34">
        <f t="shared" si="6"/>
        <v>6150.909090909091</v>
      </c>
      <c r="U11" s="36">
        <v>0.1</v>
      </c>
      <c r="V11" s="34">
        <f t="shared" si="7"/>
        <v>1200</v>
      </c>
      <c r="W11" s="34">
        <f t="shared" si="8"/>
        <v>1809.090909090909</v>
      </c>
      <c r="X11" s="34">
        <f t="shared" si="9"/>
        <v>609.09090909090901</v>
      </c>
      <c r="Y11" s="34">
        <f t="shared" si="10"/>
        <v>4649.090909090909</v>
      </c>
      <c r="Z11" s="29" t="s">
        <v>152</v>
      </c>
      <c r="AA11" s="37" t="s">
        <v>121</v>
      </c>
      <c r="AB11" s="28" t="s">
        <v>153</v>
      </c>
      <c r="AC11" s="29" t="s">
        <v>154</v>
      </c>
      <c r="AD11" s="37" t="s">
        <v>124</v>
      </c>
      <c r="AE11" s="28" t="s">
        <v>155</v>
      </c>
      <c r="AF11" s="29" t="s">
        <v>156</v>
      </c>
      <c r="AG11" s="38">
        <f t="shared" si="11"/>
        <v>0.1</v>
      </c>
      <c r="AH11" s="38">
        <f t="shared" si="12"/>
        <v>1.5075757575757576</v>
      </c>
      <c r="AI11" s="39" t="str">
        <f t="shared" si="13"/>
        <v>GO</v>
      </c>
      <c r="AJ11" s="40">
        <f t="shared" si="14"/>
        <v>0</v>
      </c>
      <c r="AK11" s="41">
        <f t="shared" si="15"/>
        <v>2.5488437001594897</v>
      </c>
    </row>
    <row r="12" spans="1:37" ht="49.5" customHeight="1">
      <c r="A12" s="28" t="s">
        <v>38</v>
      </c>
      <c r="B12" s="29" t="s">
        <v>22</v>
      </c>
      <c r="C12" s="28" t="s">
        <v>157</v>
      </c>
      <c r="D12" s="30">
        <v>30</v>
      </c>
      <c r="E12" s="28" t="s">
        <v>119</v>
      </c>
      <c r="F12" s="31">
        <v>100</v>
      </c>
      <c r="G12" s="30">
        <f t="shared" si="16"/>
        <v>4</v>
      </c>
      <c r="H12" s="30">
        <f t="shared" si="0"/>
        <v>120</v>
      </c>
      <c r="I12" s="32">
        <v>4.0714285714285703</v>
      </c>
      <c r="J12" s="33">
        <v>190</v>
      </c>
      <c r="K12" s="34">
        <f t="shared" si="1"/>
        <v>773.57142857142833</v>
      </c>
      <c r="L12" s="33">
        <f t="shared" si="2"/>
        <v>1857</v>
      </c>
      <c r="M12" s="34">
        <f t="shared" si="3"/>
        <v>7428</v>
      </c>
      <c r="N12" s="33">
        <v>15000</v>
      </c>
      <c r="O12" s="35">
        <v>0.18</v>
      </c>
      <c r="P12" s="34">
        <f t="shared" si="4"/>
        <v>2700</v>
      </c>
      <c r="Q12" s="33">
        <v>2900</v>
      </c>
      <c r="R12" s="35">
        <v>0.1</v>
      </c>
      <c r="S12" s="34">
        <f t="shared" si="5"/>
        <v>1363.6363636363635</v>
      </c>
      <c r="T12" s="34">
        <f t="shared" si="6"/>
        <v>6963.636363636364</v>
      </c>
      <c r="U12" s="36">
        <v>0.1</v>
      </c>
      <c r="V12" s="34">
        <f t="shared" si="7"/>
        <v>1500</v>
      </c>
      <c r="W12" s="34">
        <f t="shared" si="8"/>
        <v>608.36363636363603</v>
      </c>
      <c r="X12" s="34">
        <f t="shared" si="9"/>
        <v>-891.63636363636397</v>
      </c>
      <c r="Y12" s="34">
        <f t="shared" si="10"/>
        <v>6536.363636363636</v>
      </c>
      <c r="Z12" s="29" t="s">
        <v>152</v>
      </c>
      <c r="AA12" s="37" t="s">
        <v>121</v>
      </c>
      <c r="AB12" s="28" t="s">
        <v>158</v>
      </c>
      <c r="AC12" s="29" t="s">
        <v>159</v>
      </c>
      <c r="AD12" s="37" t="s">
        <v>124</v>
      </c>
      <c r="AE12" s="28" t="s">
        <v>160</v>
      </c>
      <c r="AF12" s="29" t="s">
        <v>161</v>
      </c>
      <c r="AG12" s="38">
        <f t="shared" si="11"/>
        <v>0.1</v>
      </c>
      <c r="AH12" s="38">
        <f t="shared" si="12"/>
        <v>0.40557575757575737</v>
      </c>
      <c r="AI12" s="39" t="str">
        <f t="shared" si="13"/>
        <v>NO</v>
      </c>
      <c r="AJ12" s="40">
        <f t="shared" si="14"/>
        <v>891.63636363636397</v>
      </c>
      <c r="AK12" s="41">
        <f t="shared" si="15"/>
        <v>3.5835326953748003</v>
      </c>
    </row>
    <row r="13" spans="1:37" ht="49.5" customHeight="1">
      <c r="A13" s="28" t="s">
        <v>40</v>
      </c>
      <c r="B13" s="29" t="s">
        <v>22</v>
      </c>
      <c r="C13" s="29" t="s">
        <v>41</v>
      </c>
      <c r="D13" s="30">
        <v>45</v>
      </c>
      <c r="E13" s="28" t="s">
        <v>119</v>
      </c>
      <c r="F13" s="31">
        <v>100</v>
      </c>
      <c r="G13" s="30">
        <f t="shared" si="16"/>
        <v>3</v>
      </c>
      <c r="H13" s="30">
        <f t="shared" si="0"/>
        <v>135</v>
      </c>
      <c r="I13" s="32">
        <v>7.8571428571428603</v>
      </c>
      <c r="J13" s="33">
        <v>190</v>
      </c>
      <c r="K13" s="34">
        <f t="shared" si="1"/>
        <v>1492.8571428571436</v>
      </c>
      <c r="L13" s="33">
        <f t="shared" si="2"/>
        <v>3583</v>
      </c>
      <c r="M13" s="34">
        <f t="shared" si="3"/>
        <v>10749</v>
      </c>
      <c r="N13" s="33">
        <v>18000</v>
      </c>
      <c r="O13" s="35">
        <v>0.18</v>
      </c>
      <c r="P13" s="34">
        <f t="shared" si="4"/>
        <v>3240</v>
      </c>
      <c r="Q13" s="33">
        <v>2900</v>
      </c>
      <c r="R13" s="35">
        <v>0.1</v>
      </c>
      <c r="S13" s="34">
        <f t="shared" si="5"/>
        <v>1636.3636363636363</v>
      </c>
      <c r="T13" s="34">
        <f t="shared" si="6"/>
        <v>7776.363636363636</v>
      </c>
      <c r="U13" s="36">
        <v>0.1</v>
      </c>
      <c r="V13" s="34">
        <f t="shared" si="7"/>
        <v>1800</v>
      </c>
      <c r="W13" s="34">
        <f t="shared" si="8"/>
        <v>-525.36363636363603</v>
      </c>
      <c r="X13" s="34">
        <f t="shared" si="9"/>
        <v>-2325.363636363636</v>
      </c>
      <c r="Y13" s="34">
        <f t="shared" si="10"/>
        <v>8423.636363636364</v>
      </c>
      <c r="Z13" s="29" t="s">
        <v>152</v>
      </c>
      <c r="AA13" s="37" t="s">
        <v>121</v>
      </c>
      <c r="AB13" s="28" t="s">
        <v>162</v>
      </c>
      <c r="AC13" s="29" t="s">
        <v>163</v>
      </c>
      <c r="AD13" s="37" t="s">
        <v>124</v>
      </c>
      <c r="AE13" s="28" t="s">
        <v>164</v>
      </c>
      <c r="AF13" s="29" t="s">
        <v>165</v>
      </c>
      <c r="AG13" s="38">
        <f t="shared" si="11"/>
        <v>0.1</v>
      </c>
      <c r="AH13" s="38">
        <f t="shared" si="12"/>
        <v>-0.29186868686868667</v>
      </c>
      <c r="AI13" s="39" t="str">
        <f t="shared" si="13"/>
        <v>NO</v>
      </c>
      <c r="AJ13" s="40">
        <f t="shared" si="14"/>
        <v>2325.363636363636</v>
      </c>
      <c r="AK13" s="41">
        <f t="shared" si="15"/>
        <v>6.1576289207868165</v>
      </c>
    </row>
    <row r="14" spans="1:37" ht="49.5" customHeight="1">
      <c r="A14" s="28" t="s">
        <v>42</v>
      </c>
      <c r="B14" s="29" t="s">
        <v>43</v>
      </c>
      <c r="C14" s="29" t="s">
        <v>44</v>
      </c>
      <c r="D14" s="30">
        <v>30</v>
      </c>
      <c r="E14" s="28" t="s">
        <v>119</v>
      </c>
      <c r="F14" s="31">
        <v>100</v>
      </c>
      <c r="G14" s="30">
        <v>3</v>
      </c>
      <c r="H14" s="30">
        <f t="shared" si="0"/>
        <v>90</v>
      </c>
      <c r="I14" s="32">
        <v>1.5714285714285701</v>
      </c>
      <c r="J14" s="33">
        <v>190</v>
      </c>
      <c r="K14" s="34">
        <f t="shared" si="1"/>
        <v>298.57142857142833</v>
      </c>
      <c r="L14" s="33">
        <f t="shared" si="2"/>
        <v>717</v>
      </c>
      <c r="M14" s="34">
        <f t="shared" si="3"/>
        <v>2151</v>
      </c>
      <c r="N14" s="33">
        <v>4050</v>
      </c>
      <c r="O14" s="35">
        <v>0.18</v>
      </c>
      <c r="P14" s="34">
        <f t="shared" si="4"/>
        <v>729</v>
      </c>
      <c r="Q14" s="33">
        <v>2900</v>
      </c>
      <c r="R14" s="35">
        <v>0.1</v>
      </c>
      <c r="S14" s="34">
        <f t="shared" si="5"/>
        <v>368.18181818181813</v>
      </c>
      <c r="T14" s="34">
        <f t="shared" si="6"/>
        <v>3997.181818181818</v>
      </c>
      <c r="U14" s="36">
        <v>0.1</v>
      </c>
      <c r="V14" s="34">
        <f t="shared" si="7"/>
        <v>405</v>
      </c>
      <c r="W14" s="34">
        <f t="shared" si="8"/>
        <v>-2098.181818181818</v>
      </c>
      <c r="X14" s="34">
        <f t="shared" si="9"/>
        <v>-2503.181818181818</v>
      </c>
      <c r="Y14" s="34">
        <f t="shared" si="10"/>
        <v>-352.18181818181813</v>
      </c>
      <c r="Z14" s="29" t="s">
        <v>152</v>
      </c>
      <c r="AA14" s="37" t="s">
        <v>121</v>
      </c>
      <c r="AB14" s="28" t="s">
        <v>166</v>
      </c>
      <c r="AC14" s="29" t="s">
        <v>167</v>
      </c>
      <c r="AD14" s="37" t="s">
        <v>124</v>
      </c>
      <c r="AE14" s="28" t="s">
        <v>168</v>
      </c>
      <c r="AF14" s="29" t="s">
        <v>169</v>
      </c>
      <c r="AG14" s="38">
        <f t="shared" si="11"/>
        <v>0.1</v>
      </c>
      <c r="AH14" s="38">
        <f t="shared" si="12"/>
        <v>-5.1806958473625135</v>
      </c>
      <c r="AI14" s="39" t="str">
        <f t="shared" si="13"/>
        <v>NO</v>
      </c>
      <c r="AJ14" s="40">
        <f t="shared" si="14"/>
        <v>2503.181818181818</v>
      </c>
      <c r="AK14" s="41">
        <f t="shared" si="15"/>
        <v>-0.2574428495481127</v>
      </c>
    </row>
    <row r="15" spans="1:37" ht="49.5" customHeight="1">
      <c r="A15" s="28" t="s">
        <v>45</v>
      </c>
      <c r="B15" s="29" t="s">
        <v>43</v>
      </c>
      <c r="C15" s="29" t="s">
        <v>46</v>
      </c>
      <c r="D15" s="30">
        <v>60</v>
      </c>
      <c r="E15" s="28" t="s">
        <v>119</v>
      </c>
      <c r="F15" s="31">
        <v>120</v>
      </c>
      <c r="G15" s="30">
        <f>ROUNDUP(F15/D15,0)</f>
        <v>2</v>
      </c>
      <c r="H15" s="30">
        <f t="shared" si="0"/>
        <v>120</v>
      </c>
      <c r="I15" s="32">
        <v>2.1666666666666701</v>
      </c>
      <c r="J15" s="33">
        <v>190</v>
      </c>
      <c r="K15" s="34">
        <f t="shared" si="1"/>
        <v>411.66666666666731</v>
      </c>
      <c r="L15" s="33">
        <f t="shared" si="2"/>
        <v>988</v>
      </c>
      <c r="M15" s="34">
        <f t="shared" si="3"/>
        <v>1976</v>
      </c>
      <c r="N15" s="33">
        <v>4050</v>
      </c>
      <c r="O15" s="35">
        <v>0.18</v>
      </c>
      <c r="P15" s="34">
        <f t="shared" si="4"/>
        <v>729</v>
      </c>
      <c r="Q15" s="33">
        <v>2900</v>
      </c>
      <c r="R15" s="35">
        <v>0.1</v>
      </c>
      <c r="S15" s="34">
        <f t="shared" si="5"/>
        <v>368.18181818181813</v>
      </c>
      <c r="T15" s="34">
        <f t="shared" si="6"/>
        <v>3997.181818181818</v>
      </c>
      <c r="U15" s="36">
        <v>0.1</v>
      </c>
      <c r="V15" s="34">
        <f t="shared" si="7"/>
        <v>405</v>
      </c>
      <c r="W15" s="34">
        <f t="shared" si="8"/>
        <v>-1923.181818181818</v>
      </c>
      <c r="X15" s="34">
        <f t="shared" si="9"/>
        <v>-2328.181818181818</v>
      </c>
      <c r="Y15" s="34">
        <f t="shared" si="10"/>
        <v>-352.18181818181813</v>
      </c>
      <c r="Z15" s="29" t="s">
        <v>152</v>
      </c>
      <c r="AA15" s="37" t="s">
        <v>121</v>
      </c>
      <c r="AB15" s="28" t="s">
        <v>170</v>
      </c>
      <c r="AC15" s="29" t="s">
        <v>171</v>
      </c>
      <c r="AD15" s="37" t="s">
        <v>124</v>
      </c>
      <c r="AE15" s="28" t="s">
        <v>172</v>
      </c>
      <c r="AF15" s="29" t="s">
        <v>173</v>
      </c>
      <c r="AG15" s="38">
        <f t="shared" si="11"/>
        <v>0.1</v>
      </c>
      <c r="AH15" s="38">
        <f t="shared" si="12"/>
        <v>-4.7485970819304146</v>
      </c>
      <c r="AI15" s="39" t="str">
        <f t="shared" si="13"/>
        <v>NO</v>
      </c>
      <c r="AJ15" s="40">
        <f t="shared" si="14"/>
        <v>2328.181818181818</v>
      </c>
      <c r="AK15" s="41">
        <f t="shared" si="15"/>
        <v>-0.38616427432216904</v>
      </c>
    </row>
    <row r="16" spans="1:37" ht="33" customHeight="1">
      <c r="A16" s="28" t="s">
        <v>47</v>
      </c>
      <c r="B16" s="29" t="s">
        <v>43</v>
      </c>
      <c r="C16" s="29" t="s">
        <v>48</v>
      </c>
      <c r="D16" s="30">
        <v>30</v>
      </c>
      <c r="E16" s="28" t="s">
        <v>119</v>
      </c>
      <c r="F16" s="31">
        <v>100</v>
      </c>
      <c r="G16" s="30">
        <v>3</v>
      </c>
      <c r="H16" s="30">
        <f t="shared" si="0"/>
        <v>90</v>
      </c>
      <c r="I16" s="32">
        <v>1.5857142857142901</v>
      </c>
      <c r="J16" s="33">
        <v>190</v>
      </c>
      <c r="K16" s="34">
        <f t="shared" si="1"/>
        <v>301.28571428571513</v>
      </c>
      <c r="L16" s="33">
        <f t="shared" si="2"/>
        <v>723</v>
      </c>
      <c r="M16" s="34">
        <f t="shared" si="3"/>
        <v>2169</v>
      </c>
      <c r="N16" s="33">
        <v>4050</v>
      </c>
      <c r="O16" s="35">
        <v>0.18</v>
      </c>
      <c r="P16" s="34">
        <f t="shared" si="4"/>
        <v>729</v>
      </c>
      <c r="Q16" s="33">
        <v>2900</v>
      </c>
      <c r="R16" s="35">
        <v>0.1</v>
      </c>
      <c r="S16" s="34">
        <f t="shared" si="5"/>
        <v>368.18181818181813</v>
      </c>
      <c r="T16" s="34">
        <f t="shared" si="6"/>
        <v>3997.181818181818</v>
      </c>
      <c r="U16" s="36">
        <v>0.1</v>
      </c>
      <c r="V16" s="34">
        <f t="shared" si="7"/>
        <v>405</v>
      </c>
      <c r="W16" s="34">
        <f t="shared" si="8"/>
        <v>-2116.181818181818</v>
      </c>
      <c r="X16" s="34">
        <f t="shared" si="9"/>
        <v>-2521.181818181818</v>
      </c>
      <c r="Y16" s="34">
        <f t="shared" si="10"/>
        <v>-352.18181818181813</v>
      </c>
      <c r="Z16" s="29" t="s">
        <v>152</v>
      </c>
      <c r="AA16" s="37" t="s">
        <v>121</v>
      </c>
      <c r="AB16" s="28" t="s">
        <v>174</v>
      </c>
      <c r="AC16" s="29" t="s">
        <v>175</v>
      </c>
      <c r="AD16" s="37" t="s">
        <v>124</v>
      </c>
      <c r="AE16" s="28" t="s">
        <v>176</v>
      </c>
      <c r="AF16" s="29" t="s">
        <v>177</v>
      </c>
      <c r="AG16" s="38">
        <f t="shared" si="11"/>
        <v>0.1</v>
      </c>
      <c r="AH16" s="38">
        <f t="shared" si="12"/>
        <v>-5.2251402918069578</v>
      </c>
      <c r="AI16" s="39" t="str">
        <f t="shared" si="13"/>
        <v>NO</v>
      </c>
      <c r="AJ16" s="40">
        <f t="shared" si="14"/>
        <v>2521.181818181818</v>
      </c>
      <c r="AK16" s="41">
        <f t="shared" si="15"/>
        <v>-0.2574428495481127</v>
      </c>
    </row>
    <row r="17" spans="1:37" ht="33" customHeight="1">
      <c r="A17" s="28" t="s">
        <v>49</v>
      </c>
      <c r="B17" s="29" t="s">
        <v>43</v>
      </c>
      <c r="C17" s="29" t="s">
        <v>50</v>
      </c>
      <c r="D17" s="30">
        <v>50</v>
      </c>
      <c r="E17" s="28" t="s">
        <v>119</v>
      </c>
      <c r="F17" s="31">
        <v>120</v>
      </c>
      <c r="G17" s="30">
        <v>2</v>
      </c>
      <c r="H17" s="30">
        <f t="shared" si="0"/>
        <v>100</v>
      </c>
      <c r="I17" s="32">
        <v>2.2999999999999998</v>
      </c>
      <c r="J17" s="33">
        <v>190</v>
      </c>
      <c r="K17" s="34">
        <f t="shared" si="1"/>
        <v>436.99999999999994</v>
      </c>
      <c r="L17" s="33">
        <f t="shared" si="2"/>
        <v>1049</v>
      </c>
      <c r="M17" s="34">
        <f t="shared" si="3"/>
        <v>2098</v>
      </c>
      <c r="N17" s="33">
        <v>4050</v>
      </c>
      <c r="O17" s="35">
        <v>0.18</v>
      </c>
      <c r="P17" s="34">
        <f t="shared" si="4"/>
        <v>729</v>
      </c>
      <c r="Q17" s="33">
        <v>2900</v>
      </c>
      <c r="R17" s="35">
        <v>0.1</v>
      </c>
      <c r="S17" s="34">
        <f t="shared" si="5"/>
        <v>368.18181818181813</v>
      </c>
      <c r="T17" s="34">
        <f t="shared" si="6"/>
        <v>3997.181818181818</v>
      </c>
      <c r="U17" s="36">
        <v>0.1</v>
      </c>
      <c r="V17" s="34">
        <f t="shared" si="7"/>
        <v>405</v>
      </c>
      <c r="W17" s="34">
        <f t="shared" si="8"/>
        <v>-2045.181818181818</v>
      </c>
      <c r="X17" s="34">
        <f t="shared" si="9"/>
        <v>-2450.181818181818</v>
      </c>
      <c r="Y17" s="34">
        <f t="shared" si="10"/>
        <v>-352.18181818181813</v>
      </c>
      <c r="Z17" s="29" t="s">
        <v>152</v>
      </c>
      <c r="AA17" s="37" t="s">
        <v>121</v>
      </c>
      <c r="AB17" s="28" t="s">
        <v>178</v>
      </c>
      <c r="AC17" s="29" t="s">
        <v>179</v>
      </c>
      <c r="AD17" s="37" t="s">
        <v>124</v>
      </c>
      <c r="AE17" s="28" t="s">
        <v>180</v>
      </c>
      <c r="AF17" s="29" t="s">
        <v>181</v>
      </c>
      <c r="AG17" s="38">
        <f t="shared" si="11"/>
        <v>0.1</v>
      </c>
      <c r="AH17" s="38">
        <f t="shared" si="12"/>
        <v>-5.0498316498316491</v>
      </c>
      <c r="AI17" s="39" t="str">
        <f t="shared" si="13"/>
        <v>NO</v>
      </c>
      <c r="AJ17" s="40">
        <f t="shared" si="14"/>
        <v>2450.181818181818</v>
      </c>
      <c r="AK17" s="41">
        <f t="shared" si="15"/>
        <v>-0.38616427432216904</v>
      </c>
    </row>
    <row r="18" spans="1:37" ht="49.5" customHeight="1">
      <c r="A18" s="28" t="s">
        <v>51</v>
      </c>
      <c r="B18" s="29" t="s">
        <v>43</v>
      </c>
      <c r="C18" s="29" t="s">
        <v>52</v>
      </c>
      <c r="D18" s="30">
        <v>100</v>
      </c>
      <c r="E18" s="28" t="s">
        <v>119</v>
      </c>
      <c r="F18" s="31">
        <v>100</v>
      </c>
      <c r="G18" s="30">
        <f>ROUNDUP(F18/D18,0)</f>
        <v>1</v>
      </c>
      <c r="H18" s="30">
        <f t="shared" si="0"/>
        <v>100</v>
      </c>
      <c r="I18" s="32">
        <v>5.24</v>
      </c>
      <c r="J18" s="33">
        <v>190</v>
      </c>
      <c r="K18" s="34">
        <f t="shared" si="1"/>
        <v>995.6</v>
      </c>
      <c r="L18" s="33">
        <f t="shared" si="2"/>
        <v>2389</v>
      </c>
      <c r="M18" s="34">
        <f t="shared" si="3"/>
        <v>2389</v>
      </c>
      <c r="N18" s="33">
        <v>6200</v>
      </c>
      <c r="O18" s="35">
        <v>0.18</v>
      </c>
      <c r="P18" s="34">
        <f t="shared" si="4"/>
        <v>1116</v>
      </c>
      <c r="Q18" s="33">
        <v>2900</v>
      </c>
      <c r="R18" s="35">
        <v>0.1</v>
      </c>
      <c r="S18" s="34">
        <f t="shared" si="5"/>
        <v>563.63636363636363</v>
      </c>
      <c r="T18" s="34">
        <f t="shared" si="6"/>
        <v>4579.636363636364</v>
      </c>
      <c r="U18" s="36">
        <v>0.1</v>
      </c>
      <c r="V18" s="34">
        <f t="shared" si="7"/>
        <v>620</v>
      </c>
      <c r="W18" s="34">
        <f t="shared" si="8"/>
        <v>-768.63636363636397</v>
      </c>
      <c r="X18" s="34">
        <f t="shared" si="9"/>
        <v>-1388.636363636364</v>
      </c>
      <c r="Y18" s="34">
        <f t="shared" si="10"/>
        <v>1000.3636363636365</v>
      </c>
      <c r="Z18" s="29" t="s">
        <v>152</v>
      </c>
      <c r="AA18" s="37" t="s">
        <v>121</v>
      </c>
      <c r="AB18" s="28" t="s">
        <v>182</v>
      </c>
      <c r="AC18" s="29" t="s">
        <v>183</v>
      </c>
      <c r="AD18" s="37" t="s">
        <v>124</v>
      </c>
      <c r="AE18" s="28" t="s">
        <v>184</v>
      </c>
      <c r="AF18" s="29" t="s">
        <v>185</v>
      </c>
      <c r="AG18" s="38">
        <f t="shared" si="11"/>
        <v>0.1</v>
      </c>
      <c r="AH18" s="38">
        <f t="shared" si="12"/>
        <v>-1.2397360703812321</v>
      </c>
      <c r="AI18" s="39" t="str">
        <f t="shared" si="13"/>
        <v>NO</v>
      </c>
      <c r="AJ18" s="40">
        <f t="shared" si="14"/>
        <v>1388.636363636364</v>
      </c>
      <c r="AK18" s="41">
        <f t="shared" si="15"/>
        <v>2.1937799043062207</v>
      </c>
    </row>
    <row r="19" spans="1:37" ht="33" customHeight="1">
      <c r="A19" s="28" t="s">
        <v>53</v>
      </c>
      <c r="B19" s="29" t="s">
        <v>54</v>
      </c>
      <c r="C19" s="29" t="s">
        <v>55</v>
      </c>
      <c r="D19" s="30">
        <v>20</v>
      </c>
      <c r="E19" s="28" t="s">
        <v>186</v>
      </c>
      <c r="F19" s="31">
        <v>100</v>
      </c>
      <c r="G19" s="30">
        <v>3</v>
      </c>
      <c r="H19" s="30">
        <f t="shared" si="0"/>
        <v>60</v>
      </c>
      <c r="I19" s="32">
        <v>1.72857142857143</v>
      </c>
      <c r="J19" s="33">
        <v>190</v>
      </c>
      <c r="K19" s="34">
        <f t="shared" si="1"/>
        <v>328.42857142857167</v>
      </c>
      <c r="L19" s="33">
        <f t="shared" si="2"/>
        <v>788</v>
      </c>
      <c r="M19" s="34">
        <f t="shared" si="3"/>
        <v>2364</v>
      </c>
      <c r="N19" s="33">
        <v>5670</v>
      </c>
      <c r="O19" s="35">
        <v>0.18</v>
      </c>
      <c r="P19" s="34">
        <f t="shared" si="4"/>
        <v>1020.5999999999999</v>
      </c>
      <c r="Q19" s="33">
        <v>2900</v>
      </c>
      <c r="R19" s="35">
        <v>0.1</v>
      </c>
      <c r="S19" s="34">
        <f t="shared" si="5"/>
        <v>515.45454545454538</v>
      </c>
      <c r="T19" s="34">
        <f t="shared" si="6"/>
        <v>4436.0545454545454</v>
      </c>
      <c r="U19" s="36">
        <v>0.1</v>
      </c>
      <c r="V19" s="34">
        <f t="shared" si="7"/>
        <v>567</v>
      </c>
      <c r="W19" s="34">
        <f t="shared" si="8"/>
        <v>-1130.0545454545454</v>
      </c>
      <c r="X19" s="34">
        <f t="shared" si="9"/>
        <v>-1697.0545454545454</v>
      </c>
      <c r="Y19" s="34">
        <f t="shared" si="10"/>
        <v>666.94545454545414</v>
      </c>
      <c r="Z19" s="29" t="s">
        <v>152</v>
      </c>
      <c r="AA19" s="37" t="s">
        <v>121</v>
      </c>
      <c r="AB19" s="28" t="s">
        <v>187</v>
      </c>
      <c r="AC19" s="29" t="s">
        <v>188</v>
      </c>
      <c r="AD19" s="37" t="s">
        <v>124</v>
      </c>
      <c r="AE19" s="28" t="s">
        <v>189</v>
      </c>
      <c r="AF19" s="29" t="s">
        <v>190</v>
      </c>
      <c r="AG19" s="38">
        <f t="shared" si="11"/>
        <v>0.1</v>
      </c>
      <c r="AH19" s="38">
        <f t="shared" si="12"/>
        <v>-1.9930415263748595</v>
      </c>
      <c r="AI19" s="39" t="str">
        <f t="shared" si="13"/>
        <v>NO</v>
      </c>
      <c r="AJ19" s="40">
        <f t="shared" si="14"/>
        <v>1697.0545454545454</v>
      </c>
      <c r="AK19" s="41">
        <f t="shared" si="15"/>
        <v>0.48753322700691087</v>
      </c>
    </row>
    <row r="20" spans="1:37" ht="49.5" customHeight="1">
      <c r="A20" s="28" t="s">
        <v>56</v>
      </c>
      <c r="B20" s="29" t="s">
        <v>54</v>
      </c>
      <c r="C20" s="29" t="s">
        <v>57</v>
      </c>
      <c r="D20" s="30">
        <v>20</v>
      </c>
      <c r="E20" s="28" t="s">
        <v>186</v>
      </c>
      <c r="F20" s="31">
        <v>100</v>
      </c>
      <c r="G20" s="30">
        <v>3</v>
      </c>
      <c r="H20" s="30">
        <f t="shared" si="0"/>
        <v>60</v>
      </c>
      <c r="I20" s="32">
        <v>1.9142857142857099</v>
      </c>
      <c r="J20" s="33">
        <v>190</v>
      </c>
      <c r="K20" s="34">
        <f t="shared" si="1"/>
        <v>363.71428571428487</v>
      </c>
      <c r="L20" s="33">
        <f t="shared" si="2"/>
        <v>873</v>
      </c>
      <c r="M20" s="34">
        <f t="shared" si="3"/>
        <v>2619</v>
      </c>
      <c r="N20" s="33">
        <v>5670</v>
      </c>
      <c r="O20" s="35">
        <v>0.18</v>
      </c>
      <c r="P20" s="34">
        <f t="shared" si="4"/>
        <v>1020.5999999999999</v>
      </c>
      <c r="Q20" s="33">
        <v>2900</v>
      </c>
      <c r="R20" s="35">
        <v>0.1</v>
      </c>
      <c r="S20" s="34">
        <f t="shared" si="5"/>
        <v>515.45454545454538</v>
      </c>
      <c r="T20" s="34">
        <f t="shared" si="6"/>
        <v>4436.0545454545454</v>
      </c>
      <c r="U20" s="36">
        <v>0.1</v>
      </c>
      <c r="V20" s="34">
        <f t="shared" si="7"/>
        <v>567</v>
      </c>
      <c r="W20" s="34">
        <f t="shared" si="8"/>
        <v>-1385.0545454545454</v>
      </c>
      <c r="X20" s="34">
        <f t="shared" si="9"/>
        <v>-1952.0545454545454</v>
      </c>
      <c r="Y20" s="34">
        <f t="shared" si="10"/>
        <v>666.94545454545414</v>
      </c>
      <c r="Z20" s="29" t="s">
        <v>152</v>
      </c>
      <c r="AA20" s="37" t="s">
        <v>121</v>
      </c>
      <c r="AB20" s="28" t="s">
        <v>191</v>
      </c>
      <c r="AC20" s="29" t="s">
        <v>192</v>
      </c>
      <c r="AD20" s="37" t="s">
        <v>124</v>
      </c>
      <c r="AE20" s="28" t="s">
        <v>193</v>
      </c>
      <c r="AF20" s="29" t="s">
        <v>194</v>
      </c>
      <c r="AG20" s="38">
        <f t="shared" si="11"/>
        <v>0.1</v>
      </c>
      <c r="AH20" s="38">
        <f t="shared" si="12"/>
        <v>-2.4427769761103093</v>
      </c>
      <c r="AI20" s="39" t="str">
        <f t="shared" si="13"/>
        <v>NO</v>
      </c>
      <c r="AJ20" s="40">
        <f t="shared" si="14"/>
        <v>1952.0545454545454</v>
      </c>
      <c r="AK20" s="41">
        <f t="shared" si="15"/>
        <v>0.48753322700691087</v>
      </c>
    </row>
    <row r="21" spans="1:37" ht="33" customHeight="1">
      <c r="A21" s="28" t="s">
        <v>58</v>
      </c>
      <c r="B21" s="29" t="s">
        <v>54</v>
      </c>
      <c r="C21" s="29" t="s">
        <v>59</v>
      </c>
      <c r="D21" s="30">
        <v>30</v>
      </c>
      <c r="E21" s="28" t="s">
        <v>186</v>
      </c>
      <c r="F21" s="31">
        <v>100</v>
      </c>
      <c r="G21" s="30">
        <v>3</v>
      </c>
      <c r="H21" s="30">
        <f t="shared" si="0"/>
        <v>90</v>
      </c>
      <c r="I21" s="32">
        <v>2.4</v>
      </c>
      <c r="J21" s="33">
        <v>190</v>
      </c>
      <c r="K21" s="34">
        <f t="shared" si="1"/>
        <v>456</v>
      </c>
      <c r="L21" s="33">
        <f t="shared" si="2"/>
        <v>1094</v>
      </c>
      <c r="M21" s="34">
        <f t="shared" si="3"/>
        <v>3282</v>
      </c>
      <c r="N21" s="33">
        <v>5670</v>
      </c>
      <c r="O21" s="35">
        <v>0.18</v>
      </c>
      <c r="P21" s="34">
        <f t="shared" si="4"/>
        <v>1020.5999999999999</v>
      </c>
      <c r="Q21" s="33">
        <v>2900</v>
      </c>
      <c r="R21" s="35">
        <v>0.1</v>
      </c>
      <c r="S21" s="34">
        <f t="shared" si="5"/>
        <v>515.45454545454538</v>
      </c>
      <c r="T21" s="34">
        <f t="shared" si="6"/>
        <v>4436.0545454545454</v>
      </c>
      <c r="U21" s="36">
        <v>0.1</v>
      </c>
      <c r="V21" s="34">
        <f t="shared" si="7"/>
        <v>567</v>
      </c>
      <c r="W21" s="34">
        <f t="shared" si="8"/>
        <v>-2048.0545454545454</v>
      </c>
      <c r="X21" s="34">
        <f t="shared" si="9"/>
        <v>-2615.0545454545454</v>
      </c>
      <c r="Y21" s="34">
        <f t="shared" si="10"/>
        <v>666.94545454545414</v>
      </c>
      <c r="Z21" s="29" t="s">
        <v>152</v>
      </c>
      <c r="AA21" s="37" t="s">
        <v>121</v>
      </c>
      <c r="AB21" s="28" t="s">
        <v>195</v>
      </c>
      <c r="AC21" s="29" t="s">
        <v>196</v>
      </c>
      <c r="AD21" s="37" t="s">
        <v>124</v>
      </c>
      <c r="AE21" s="28" t="s">
        <v>197</v>
      </c>
      <c r="AF21" s="29" t="s">
        <v>198</v>
      </c>
      <c r="AG21" s="38">
        <f t="shared" si="11"/>
        <v>0.1</v>
      </c>
      <c r="AH21" s="38">
        <f t="shared" si="12"/>
        <v>-3.6120891454224786</v>
      </c>
      <c r="AI21" s="39" t="str">
        <f t="shared" si="13"/>
        <v>NO</v>
      </c>
      <c r="AJ21" s="40">
        <f t="shared" si="14"/>
        <v>2615.0545454545454</v>
      </c>
      <c r="AK21" s="41">
        <f t="shared" si="15"/>
        <v>0.48753322700691087</v>
      </c>
    </row>
    <row r="22" spans="1:37" ht="33" customHeight="1">
      <c r="A22" s="28" t="s">
        <v>60</v>
      </c>
      <c r="B22" s="29" t="s">
        <v>54</v>
      </c>
      <c r="C22" s="29" t="s">
        <v>61</v>
      </c>
      <c r="D22" s="30">
        <v>20</v>
      </c>
      <c r="E22" s="28" t="s">
        <v>186</v>
      </c>
      <c r="F22" s="31">
        <v>100</v>
      </c>
      <c r="G22" s="30">
        <v>3</v>
      </c>
      <c r="H22" s="30">
        <f t="shared" si="0"/>
        <v>60</v>
      </c>
      <c r="I22" s="32">
        <v>2.27142857142857</v>
      </c>
      <c r="J22" s="33">
        <v>190</v>
      </c>
      <c r="K22" s="34">
        <f t="shared" si="1"/>
        <v>431.57142857142833</v>
      </c>
      <c r="L22" s="33">
        <f t="shared" si="2"/>
        <v>1036</v>
      </c>
      <c r="M22" s="34">
        <f t="shared" si="3"/>
        <v>3108</v>
      </c>
      <c r="N22" s="33">
        <v>5670</v>
      </c>
      <c r="O22" s="35">
        <v>0.18</v>
      </c>
      <c r="P22" s="34">
        <f t="shared" si="4"/>
        <v>1020.5999999999999</v>
      </c>
      <c r="Q22" s="33">
        <v>2900</v>
      </c>
      <c r="R22" s="35">
        <v>0.1</v>
      </c>
      <c r="S22" s="34">
        <f t="shared" si="5"/>
        <v>515.45454545454538</v>
      </c>
      <c r="T22" s="34">
        <f t="shared" si="6"/>
        <v>4436.0545454545454</v>
      </c>
      <c r="U22" s="36">
        <v>0.1</v>
      </c>
      <c r="V22" s="34">
        <f t="shared" si="7"/>
        <v>567</v>
      </c>
      <c r="W22" s="34">
        <f t="shared" si="8"/>
        <v>-1874.0545454545454</v>
      </c>
      <c r="X22" s="34">
        <f t="shared" si="9"/>
        <v>-2441.0545454545454</v>
      </c>
      <c r="Y22" s="34">
        <f t="shared" si="10"/>
        <v>666.94545454545414</v>
      </c>
      <c r="Z22" s="29" t="s">
        <v>152</v>
      </c>
      <c r="AA22" s="37" t="s">
        <v>121</v>
      </c>
      <c r="AB22" s="28" t="s">
        <v>199</v>
      </c>
      <c r="AC22" s="29" t="s">
        <v>200</v>
      </c>
      <c r="AD22" s="37" t="s">
        <v>124</v>
      </c>
      <c r="AE22" s="28" t="s">
        <v>201</v>
      </c>
      <c r="AF22" s="29" t="s">
        <v>202</v>
      </c>
      <c r="AG22" s="38">
        <f t="shared" si="11"/>
        <v>0.1</v>
      </c>
      <c r="AH22" s="38">
        <f t="shared" si="12"/>
        <v>-3.3052108385441716</v>
      </c>
      <c r="AI22" s="39" t="str">
        <f t="shared" si="13"/>
        <v>NO</v>
      </c>
      <c r="AJ22" s="40">
        <f t="shared" si="14"/>
        <v>2441.0545454545454</v>
      </c>
      <c r="AK22" s="41">
        <f t="shared" si="15"/>
        <v>0.48753322700691087</v>
      </c>
    </row>
    <row r="23" spans="1:37" ht="49.5" customHeight="1">
      <c r="A23" s="28" t="s">
        <v>62</v>
      </c>
      <c r="B23" s="29" t="s">
        <v>54</v>
      </c>
      <c r="C23" s="29" t="s">
        <v>63</v>
      </c>
      <c r="D23" s="30">
        <v>25</v>
      </c>
      <c r="E23" s="28" t="s">
        <v>186</v>
      </c>
      <c r="F23" s="31">
        <v>100</v>
      </c>
      <c r="G23" s="30">
        <v>3</v>
      </c>
      <c r="H23" s="30">
        <f t="shared" si="0"/>
        <v>75</v>
      </c>
      <c r="I23" s="32">
        <v>2.54285714285714</v>
      </c>
      <c r="J23" s="33">
        <v>190</v>
      </c>
      <c r="K23" s="34">
        <f t="shared" si="1"/>
        <v>483.1428571428566</v>
      </c>
      <c r="L23" s="33">
        <f t="shared" si="2"/>
        <v>1160</v>
      </c>
      <c r="M23" s="34">
        <f t="shared" si="3"/>
        <v>3480</v>
      </c>
      <c r="N23" s="33">
        <v>5670</v>
      </c>
      <c r="O23" s="35">
        <v>0.18</v>
      </c>
      <c r="P23" s="34">
        <f t="shared" si="4"/>
        <v>1020.5999999999999</v>
      </c>
      <c r="Q23" s="33">
        <v>2900</v>
      </c>
      <c r="R23" s="35">
        <v>0.1</v>
      </c>
      <c r="S23" s="34">
        <f t="shared" si="5"/>
        <v>515.45454545454538</v>
      </c>
      <c r="T23" s="34">
        <f t="shared" si="6"/>
        <v>4436.0545454545454</v>
      </c>
      <c r="U23" s="36">
        <v>0.1</v>
      </c>
      <c r="V23" s="34">
        <f t="shared" si="7"/>
        <v>567</v>
      </c>
      <c r="W23" s="34">
        <f t="shared" si="8"/>
        <v>-2246.0545454545454</v>
      </c>
      <c r="X23" s="34">
        <f t="shared" si="9"/>
        <v>-2813.0545454545454</v>
      </c>
      <c r="Y23" s="34">
        <f t="shared" si="10"/>
        <v>666.94545454545414</v>
      </c>
      <c r="Z23" s="29" t="s">
        <v>152</v>
      </c>
      <c r="AA23" s="37" t="s">
        <v>121</v>
      </c>
      <c r="AB23" s="28" t="s">
        <v>203</v>
      </c>
      <c r="AC23" s="29" t="s">
        <v>204</v>
      </c>
      <c r="AD23" s="37" t="s">
        <v>124</v>
      </c>
      <c r="AE23" s="28" t="s">
        <v>205</v>
      </c>
      <c r="AF23" s="29" t="s">
        <v>206</v>
      </c>
      <c r="AG23" s="38">
        <f t="shared" si="11"/>
        <v>0.1</v>
      </c>
      <c r="AH23" s="38">
        <f t="shared" si="12"/>
        <v>-3.9612954946288279</v>
      </c>
      <c r="AI23" s="39" t="str">
        <f t="shared" si="13"/>
        <v>NO</v>
      </c>
      <c r="AJ23" s="40">
        <f t="shared" si="14"/>
        <v>2813.0545454545454</v>
      </c>
      <c r="AK23" s="41">
        <f t="shared" si="15"/>
        <v>0.48753322700691087</v>
      </c>
    </row>
    <row r="24" spans="1:37" ht="49.5" customHeight="1">
      <c r="A24" s="28" t="s">
        <v>64</v>
      </c>
      <c r="B24" s="29" t="s">
        <v>54</v>
      </c>
      <c r="C24" s="29" t="s">
        <v>65</v>
      </c>
      <c r="D24" s="30">
        <v>30</v>
      </c>
      <c r="E24" s="28" t="s">
        <v>186</v>
      </c>
      <c r="F24" s="31">
        <v>100</v>
      </c>
      <c r="G24" s="30">
        <v>3</v>
      </c>
      <c r="H24" s="30">
        <f t="shared" si="0"/>
        <v>90</v>
      </c>
      <c r="I24" s="32">
        <v>2.7</v>
      </c>
      <c r="J24" s="33">
        <v>190</v>
      </c>
      <c r="K24" s="34">
        <f t="shared" si="1"/>
        <v>513</v>
      </c>
      <c r="L24" s="33">
        <f t="shared" si="2"/>
        <v>1231</v>
      </c>
      <c r="M24" s="34">
        <f t="shared" si="3"/>
        <v>3693</v>
      </c>
      <c r="N24" s="33">
        <v>5670</v>
      </c>
      <c r="O24" s="35">
        <v>0.18</v>
      </c>
      <c r="P24" s="34">
        <f t="shared" si="4"/>
        <v>1020.5999999999999</v>
      </c>
      <c r="Q24" s="33">
        <v>2900</v>
      </c>
      <c r="R24" s="35">
        <v>0.1</v>
      </c>
      <c r="S24" s="34">
        <f t="shared" si="5"/>
        <v>515.45454545454538</v>
      </c>
      <c r="T24" s="34">
        <f t="shared" si="6"/>
        <v>4436.0545454545454</v>
      </c>
      <c r="U24" s="36">
        <v>0.1</v>
      </c>
      <c r="V24" s="34">
        <f t="shared" si="7"/>
        <v>567</v>
      </c>
      <c r="W24" s="34">
        <f t="shared" si="8"/>
        <v>-2459.0545454545454</v>
      </c>
      <c r="X24" s="34">
        <f t="shared" si="9"/>
        <v>-3026.0545454545454</v>
      </c>
      <c r="Y24" s="34">
        <f t="shared" si="10"/>
        <v>666.94545454545414</v>
      </c>
      <c r="Z24" s="29" t="s">
        <v>152</v>
      </c>
      <c r="AA24" s="37" t="s">
        <v>121</v>
      </c>
      <c r="AB24" s="28" t="s">
        <v>207</v>
      </c>
      <c r="AC24" s="29" t="s">
        <v>208</v>
      </c>
      <c r="AD24" s="37" t="s">
        <v>124</v>
      </c>
      <c r="AE24" s="28" t="s">
        <v>209</v>
      </c>
      <c r="AF24" s="29" t="s">
        <v>210</v>
      </c>
      <c r="AG24" s="38">
        <f t="shared" si="11"/>
        <v>0.1</v>
      </c>
      <c r="AH24" s="38">
        <f t="shared" si="12"/>
        <v>-4.3369568702902033</v>
      </c>
      <c r="AI24" s="39" t="str">
        <f t="shared" si="13"/>
        <v>NO</v>
      </c>
      <c r="AJ24" s="40">
        <f t="shared" si="14"/>
        <v>3026.0545454545454</v>
      </c>
      <c r="AK24" s="41">
        <f t="shared" si="15"/>
        <v>0.48753322700691087</v>
      </c>
    </row>
    <row r="25" spans="1:37" ht="33" customHeight="1">
      <c r="A25" s="28" t="s">
        <v>66</v>
      </c>
      <c r="B25" s="29" t="s">
        <v>54</v>
      </c>
      <c r="C25" s="29" t="s">
        <v>67</v>
      </c>
      <c r="D25" s="30">
        <v>50</v>
      </c>
      <c r="E25" s="28" t="s">
        <v>186</v>
      </c>
      <c r="F25" s="31">
        <v>100</v>
      </c>
      <c r="G25" s="30">
        <v>2</v>
      </c>
      <c r="H25" s="30">
        <f t="shared" si="0"/>
        <v>100</v>
      </c>
      <c r="I25" s="32">
        <v>3.3</v>
      </c>
      <c r="J25" s="33">
        <v>190</v>
      </c>
      <c r="K25" s="34">
        <f t="shared" si="1"/>
        <v>627</v>
      </c>
      <c r="L25" s="33">
        <f t="shared" si="2"/>
        <v>1505</v>
      </c>
      <c r="M25" s="34">
        <f t="shared" si="3"/>
        <v>3010</v>
      </c>
      <c r="N25" s="33">
        <v>8100</v>
      </c>
      <c r="O25" s="35">
        <v>0.18</v>
      </c>
      <c r="P25" s="34">
        <f t="shared" si="4"/>
        <v>1458</v>
      </c>
      <c r="Q25" s="33">
        <v>2900</v>
      </c>
      <c r="R25" s="35">
        <v>0.1</v>
      </c>
      <c r="S25" s="34">
        <f t="shared" si="5"/>
        <v>736.36363636363626</v>
      </c>
      <c r="T25" s="34">
        <f t="shared" si="6"/>
        <v>5094.363636363636</v>
      </c>
      <c r="U25" s="36">
        <v>0.1</v>
      </c>
      <c r="V25" s="34">
        <f t="shared" si="7"/>
        <v>810</v>
      </c>
      <c r="W25" s="34">
        <f t="shared" si="8"/>
        <v>-4.3636363636360329</v>
      </c>
      <c r="X25" s="34">
        <f t="shared" si="9"/>
        <v>-814.36363636363603</v>
      </c>
      <c r="Y25" s="34">
        <f t="shared" si="10"/>
        <v>2195.636363636364</v>
      </c>
      <c r="Z25" s="29" t="s">
        <v>152</v>
      </c>
      <c r="AA25" s="37" t="s">
        <v>121</v>
      </c>
      <c r="AB25" s="28" t="s">
        <v>211</v>
      </c>
      <c r="AC25" s="29" t="s">
        <v>212</v>
      </c>
      <c r="AD25" s="37" t="s">
        <v>124</v>
      </c>
      <c r="AE25" s="28" t="s">
        <v>213</v>
      </c>
      <c r="AF25" s="29" t="s">
        <v>214</v>
      </c>
      <c r="AG25" s="38">
        <f t="shared" si="11"/>
        <v>0.1</v>
      </c>
      <c r="AH25" s="38">
        <f t="shared" si="12"/>
        <v>-5.387205387204979E-3</v>
      </c>
      <c r="AI25" s="39" t="str">
        <f t="shared" si="13"/>
        <v>NO</v>
      </c>
      <c r="AJ25" s="40">
        <f t="shared" si="14"/>
        <v>814.36363636363603</v>
      </c>
      <c r="AK25" s="41">
        <f t="shared" si="15"/>
        <v>2.4074960127591711</v>
      </c>
    </row>
    <row r="26" spans="1:37" ht="49.5" customHeight="1">
      <c r="A26" s="28" t="s">
        <v>68</v>
      </c>
      <c r="B26" s="29" t="s">
        <v>54</v>
      </c>
      <c r="C26" s="29" t="s">
        <v>69</v>
      </c>
      <c r="D26" s="30">
        <v>25</v>
      </c>
      <c r="E26" s="28" t="s">
        <v>186</v>
      </c>
      <c r="F26" s="31">
        <v>100</v>
      </c>
      <c r="G26" s="30">
        <v>4</v>
      </c>
      <c r="H26" s="30">
        <f t="shared" si="0"/>
        <v>100</v>
      </c>
      <c r="I26" s="32">
        <v>3.27142857142857</v>
      </c>
      <c r="J26" s="33">
        <v>190</v>
      </c>
      <c r="K26" s="34">
        <f t="shared" si="1"/>
        <v>621.57142857142833</v>
      </c>
      <c r="L26" s="33">
        <f t="shared" si="2"/>
        <v>1492</v>
      </c>
      <c r="M26" s="34">
        <f t="shared" si="3"/>
        <v>5968</v>
      </c>
      <c r="N26" s="33">
        <v>8100</v>
      </c>
      <c r="O26" s="35">
        <v>0.18</v>
      </c>
      <c r="P26" s="34">
        <f t="shared" si="4"/>
        <v>1458</v>
      </c>
      <c r="Q26" s="33">
        <v>2900</v>
      </c>
      <c r="R26" s="35">
        <v>0.1</v>
      </c>
      <c r="S26" s="34">
        <f t="shared" si="5"/>
        <v>736.36363636363626</v>
      </c>
      <c r="T26" s="34">
        <f t="shared" si="6"/>
        <v>5094.363636363636</v>
      </c>
      <c r="U26" s="36">
        <v>0.1</v>
      </c>
      <c r="V26" s="34">
        <f t="shared" si="7"/>
        <v>810</v>
      </c>
      <c r="W26" s="34">
        <f t="shared" si="8"/>
        <v>-2962.363636363636</v>
      </c>
      <c r="X26" s="34">
        <f t="shared" si="9"/>
        <v>-3772.363636363636</v>
      </c>
      <c r="Y26" s="34">
        <f t="shared" si="10"/>
        <v>2195.636363636364</v>
      </c>
      <c r="Z26" s="29" t="s">
        <v>152</v>
      </c>
      <c r="AA26" s="37" t="s">
        <v>121</v>
      </c>
      <c r="AB26" s="28" t="s">
        <v>215</v>
      </c>
      <c r="AC26" s="29" t="s">
        <v>216</v>
      </c>
      <c r="AD26" s="37" t="s">
        <v>124</v>
      </c>
      <c r="AE26" s="28" t="s">
        <v>217</v>
      </c>
      <c r="AF26" s="29" t="s">
        <v>218</v>
      </c>
      <c r="AG26" s="38">
        <f t="shared" si="11"/>
        <v>0.1</v>
      </c>
      <c r="AH26" s="38">
        <f t="shared" si="12"/>
        <v>-3.6572390572390567</v>
      </c>
      <c r="AI26" s="39" t="str">
        <f t="shared" si="13"/>
        <v>NO</v>
      </c>
      <c r="AJ26" s="40">
        <f t="shared" si="14"/>
        <v>3772.363636363636</v>
      </c>
      <c r="AK26" s="41">
        <f t="shared" si="15"/>
        <v>1.2037480063795856</v>
      </c>
    </row>
    <row r="27" spans="1:37" ht="49.5" customHeight="1">
      <c r="A27" s="28" t="s">
        <v>70</v>
      </c>
      <c r="B27" s="29" t="s">
        <v>71</v>
      </c>
      <c r="C27" s="28" t="s">
        <v>219</v>
      </c>
      <c r="D27" s="30">
        <v>10</v>
      </c>
      <c r="E27" s="28" t="s">
        <v>119</v>
      </c>
      <c r="F27" s="31">
        <v>20</v>
      </c>
      <c r="G27" s="30">
        <v>2</v>
      </c>
      <c r="H27" s="30">
        <f t="shared" si="0"/>
        <v>20</v>
      </c>
      <c r="I27" s="32">
        <v>2.9285714285714302</v>
      </c>
      <c r="J27" s="33">
        <v>190</v>
      </c>
      <c r="K27" s="34">
        <f t="shared" si="1"/>
        <v>556.42857142857179</v>
      </c>
      <c r="L27" s="33">
        <f t="shared" si="2"/>
        <v>1335</v>
      </c>
      <c r="M27" s="34">
        <f t="shared" si="3"/>
        <v>2670</v>
      </c>
      <c r="N27" s="33">
        <v>6520</v>
      </c>
      <c r="O27" s="35">
        <v>0.18</v>
      </c>
      <c r="P27" s="34">
        <f t="shared" si="4"/>
        <v>1173.5999999999999</v>
      </c>
      <c r="Q27" s="33">
        <v>2900</v>
      </c>
      <c r="R27" s="35">
        <v>0.1</v>
      </c>
      <c r="S27" s="34">
        <f t="shared" si="5"/>
        <v>592.72727272727263</v>
      </c>
      <c r="T27" s="34">
        <f t="shared" si="6"/>
        <v>4666.3272727272724</v>
      </c>
      <c r="U27" s="36">
        <v>0.1</v>
      </c>
      <c r="V27" s="34">
        <f t="shared" si="7"/>
        <v>652</v>
      </c>
      <c r="W27" s="34">
        <f t="shared" si="8"/>
        <v>-816.32727272727243</v>
      </c>
      <c r="X27" s="34">
        <f t="shared" si="9"/>
        <v>-1468.3272727272724</v>
      </c>
      <c r="Y27" s="34">
        <f t="shared" si="10"/>
        <v>1201.6727272727271</v>
      </c>
      <c r="Z27" s="29" t="s">
        <v>152</v>
      </c>
      <c r="AA27" s="37" t="s">
        <v>121</v>
      </c>
      <c r="AB27" s="28" t="s">
        <v>220</v>
      </c>
      <c r="AC27" s="29" t="s">
        <v>221</v>
      </c>
      <c r="AD27" s="37" t="s">
        <v>124</v>
      </c>
      <c r="AE27" s="28" t="s">
        <v>222</v>
      </c>
      <c r="AF27" s="29" t="s">
        <v>223</v>
      </c>
      <c r="AG27" s="38">
        <f t="shared" si="11"/>
        <v>0.1</v>
      </c>
      <c r="AH27" s="38">
        <f t="shared" si="12"/>
        <v>-1.2520356943669821</v>
      </c>
      <c r="AI27" s="39" t="str">
        <f t="shared" si="13"/>
        <v>NO</v>
      </c>
      <c r="AJ27" s="40">
        <f t="shared" si="14"/>
        <v>1468.3272727272724</v>
      </c>
      <c r="AK27" s="41">
        <f t="shared" si="15"/>
        <v>1.3176236044657095</v>
      </c>
    </row>
    <row r="28" spans="1:37" ht="49.5" customHeight="1">
      <c r="A28" s="28" t="s">
        <v>73</v>
      </c>
      <c r="B28" s="29" t="s">
        <v>71</v>
      </c>
      <c r="C28" s="28" t="s">
        <v>224</v>
      </c>
      <c r="D28" s="30">
        <v>20</v>
      </c>
      <c r="E28" s="28" t="s">
        <v>119</v>
      </c>
      <c r="F28" s="31">
        <v>20</v>
      </c>
      <c r="G28" s="30">
        <v>1</v>
      </c>
      <c r="H28" s="30">
        <f t="shared" si="0"/>
        <v>20</v>
      </c>
      <c r="I28" s="32">
        <v>3.4142857142857101</v>
      </c>
      <c r="J28" s="33">
        <v>190</v>
      </c>
      <c r="K28" s="34">
        <f t="shared" si="1"/>
        <v>648.71428571428498</v>
      </c>
      <c r="L28" s="33">
        <f t="shared" si="2"/>
        <v>1557</v>
      </c>
      <c r="M28" s="34">
        <f t="shared" si="3"/>
        <v>1557</v>
      </c>
      <c r="N28" s="33">
        <v>4250</v>
      </c>
      <c r="O28" s="35">
        <v>0.18</v>
      </c>
      <c r="P28" s="34">
        <f t="shared" si="4"/>
        <v>765</v>
      </c>
      <c r="Q28" s="33">
        <v>2900</v>
      </c>
      <c r="R28" s="35">
        <v>0.1</v>
      </c>
      <c r="S28" s="34">
        <f t="shared" si="5"/>
        <v>386.36363636363632</v>
      </c>
      <c r="T28" s="34">
        <f t="shared" si="6"/>
        <v>4051.3636363636365</v>
      </c>
      <c r="U28" s="36">
        <v>0.1</v>
      </c>
      <c r="V28" s="34">
        <f t="shared" si="7"/>
        <v>425</v>
      </c>
      <c r="W28" s="34">
        <f t="shared" si="8"/>
        <v>-1358.3636363636365</v>
      </c>
      <c r="X28" s="34">
        <f t="shared" si="9"/>
        <v>-1783.3636363636365</v>
      </c>
      <c r="Y28" s="34">
        <f t="shared" si="10"/>
        <v>-226.36363636363632</v>
      </c>
      <c r="Z28" s="29" t="s">
        <v>152</v>
      </c>
      <c r="AA28" s="37" t="s">
        <v>121</v>
      </c>
      <c r="AB28" s="28" t="s">
        <v>225</v>
      </c>
      <c r="AC28" s="29" t="s">
        <v>226</v>
      </c>
      <c r="AD28" s="37" t="s">
        <v>124</v>
      </c>
      <c r="AE28" s="28" t="s">
        <v>227</v>
      </c>
      <c r="AF28" s="29" t="s">
        <v>228</v>
      </c>
      <c r="AG28" s="38">
        <f t="shared" si="11"/>
        <v>0.1</v>
      </c>
      <c r="AH28" s="38">
        <f t="shared" si="12"/>
        <v>-3.196149732620321</v>
      </c>
      <c r="AI28" s="39" t="str">
        <f t="shared" si="13"/>
        <v>NO</v>
      </c>
      <c r="AJ28" s="40">
        <f t="shared" si="14"/>
        <v>1783.3636363636365</v>
      </c>
      <c r="AK28" s="41">
        <f t="shared" si="15"/>
        <v>-0.49641148325358841</v>
      </c>
    </row>
    <row r="29" spans="1:37" ht="49.5" customHeight="1">
      <c r="A29" s="28" t="s">
        <v>75</v>
      </c>
      <c r="B29" s="29" t="s">
        <v>71</v>
      </c>
      <c r="C29" s="29" t="s">
        <v>76</v>
      </c>
      <c r="D29" s="30">
        <v>10</v>
      </c>
      <c r="E29" s="28" t="s">
        <v>119</v>
      </c>
      <c r="F29" s="31">
        <v>100</v>
      </c>
      <c r="G29" s="30">
        <v>10</v>
      </c>
      <c r="H29" s="30">
        <f t="shared" si="0"/>
        <v>100</v>
      </c>
      <c r="I29" s="32">
        <v>3.28571428571429</v>
      </c>
      <c r="J29" s="33">
        <v>190</v>
      </c>
      <c r="K29" s="34">
        <f t="shared" si="1"/>
        <v>624.28571428571513</v>
      </c>
      <c r="L29" s="33">
        <f t="shared" si="2"/>
        <v>1498</v>
      </c>
      <c r="M29" s="34">
        <f t="shared" si="3"/>
        <v>14980</v>
      </c>
      <c r="N29" s="33">
        <v>9900</v>
      </c>
      <c r="O29" s="35">
        <v>0.18</v>
      </c>
      <c r="P29" s="34">
        <f t="shared" si="4"/>
        <v>1782</v>
      </c>
      <c r="Q29" s="33">
        <v>2900</v>
      </c>
      <c r="R29" s="35">
        <v>0.1</v>
      </c>
      <c r="S29" s="34">
        <f t="shared" si="5"/>
        <v>899.99999999999989</v>
      </c>
      <c r="T29" s="34">
        <f t="shared" si="6"/>
        <v>5582</v>
      </c>
      <c r="U29" s="36">
        <v>0.1</v>
      </c>
      <c r="V29" s="34">
        <f t="shared" si="7"/>
        <v>990</v>
      </c>
      <c r="W29" s="34">
        <f t="shared" si="8"/>
        <v>-10662</v>
      </c>
      <c r="X29" s="34">
        <f t="shared" si="9"/>
        <v>-11652</v>
      </c>
      <c r="Y29" s="34">
        <f t="shared" si="10"/>
        <v>3328</v>
      </c>
      <c r="Z29" s="29" t="s">
        <v>152</v>
      </c>
      <c r="AA29" s="37" t="s">
        <v>121</v>
      </c>
      <c r="AB29" s="28" t="s">
        <v>229</v>
      </c>
      <c r="AC29" s="29" t="s">
        <v>230</v>
      </c>
      <c r="AD29" s="37" t="s">
        <v>124</v>
      </c>
      <c r="AE29" s="28" t="s">
        <v>231</v>
      </c>
      <c r="AF29" s="29" t="s">
        <v>232</v>
      </c>
      <c r="AG29" s="38">
        <f t="shared" si="11"/>
        <v>0.1</v>
      </c>
      <c r="AH29" s="38">
        <f t="shared" si="12"/>
        <v>-10.76969696969697</v>
      </c>
      <c r="AI29" s="39" t="str">
        <f t="shared" si="13"/>
        <v>NO</v>
      </c>
      <c r="AJ29" s="40">
        <f t="shared" si="14"/>
        <v>11652</v>
      </c>
      <c r="AK29" s="41">
        <f t="shared" si="15"/>
        <v>0.72982456140350882</v>
      </c>
    </row>
    <row r="30" spans="1:37" ht="49.5" customHeight="1">
      <c r="A30" s="28" t="s">
        <v>77</v>
      </c>
      <c r="B30" s="29" t="s">
        <v>78</v>
      </c>
      <c r="C30" s="29" t="s">
        <v>79</v>
      </c>
      <c r="D30" s="30">
        <v>40</v>
      </c>
      <c r="E30" s="28" t="s">
        <v>119</v>
      </c>
      <c r="F30" s="31">
        <v>100</v>
      </c>
      <c r="G30" s="30">
        <v>2</v>
      </c>
      <c r="H30" s="30">
        <f t="shared" si="0"/>
        <v>80</v>
      </c>
      <c r="I30" s="32">
        <v>3.28571428571429</v>
      </c>
      <c r="J30" s="33">
        <v>190</v>
      </c>
      <c r="K30" s="34">
        <f t="shared" si="1"/>
        <v>624.28571428571513</v>
      </c>
      <c r="L30" s="33">
        <f t="shared" si="2"/>
        <v>1498</v>
      </c>
      <c r="M30" s="34">
        <f t="shared" si="3"/>
        <v>2996</v>
      </c>
      <c r="N30" s="33">
        <v>7700</v>
      </c>
      <c r="O30" s="35">
        <v>0.18</v>
      </c>
      <c r="P30" s="34">
        <f t="shared" si="4"/>
        <v>1386</v>
      </c>
      <c r="Q30" s="33">
        <v>2900</v>
      </c>
      <c r="R30" s="35">
        <v>0.1</v>
      </c>
      <c r="S30" s="34">
        <f t="shared" si="5"/>
        <v>700</v>
      </c>
      <c r="T30" s="34">
        <f t="shared" si="6"/>
        <v>4986</v>
      </c>
      <c r="U30" s="36">
        <v>0.1</v>
      </c>
      <c r="V30" s="34">
        <f t="shared" si="7"/>
        <v>770</v>
      </c>
      <c r="W30" s="34">
        <f t="shared" si="8"/>
        <v>-282</v>
      </c>
      <c r="X30" s="34">
        <f t="shared" si="9"/>
        <v>-1052</v>
      </c>
      <c r="Y30" s="34">
        <f t="shared" si="10"/>
        <v>1944</v>
      </c>
      <c r="Z30" s="29" t="s">
        <v>152</v>
      </c>
      <c r="AA30" s="37" t="s">
        <v>121</v>
      </c>
      <c r="AB30" s="28" t="s">
        <v>233</v>
      </c>
      <c r="AC30" s="29" t="s">
        <v>234</v>
      </c>
      <c r="AD30" s="37" t="s">
        <v>124</v>
      </c>
      <c r="AE30" s="28" t="s">
        <v>235</v>
      </c>
      <c r="AF30" s="29" t="s">
        <v>236</v>
      </c>
      <c r="AG30" s="38">
        <f t="shared" si="11"/>
        <v>0.1</v>
      </c>
      <c r="AH30" s="38">
        <f t="shared" si="12"/>
        <v>-0.36623376623376624</v>
      </c>
      <c r="AI30" s="39" t="str">
        <f t="shared" si="13"/>
        <v>NO</v>
      </c>
      <c r="AJ30" s="40">
        <f t="shared" si="14"/>
        <v>1052</v>
      </c>
      <c r="AK30" s="41">
        <f t="shared" si="15"/>
        <v>2.1315789473684212</v>
      </c>
    </row>
    <row r="31" spans="1:37" ht="49.5" customHeight="1">
      <c r="A31" s="28" t="s">
        <v>80</v>
      </c>
      <c r="B31" s="29" t="s">
        <v>78</v>
      </c>
      <c r="C31" s="29" t="s">
        <v>81</v>
      </c>
      <c r="D31" s="30">
        <v>50</v>
      </c>
      <c r="E31" s="28" t="s">
        <v>119</v>
      </c>
      <c r="F31" s="31">
        <v>100</v>
      </c>
      <c r="G31" s="30">
        <v>2</v>
      </c>
      <c r="H31" s="30">
        <f t="shared" si="0"/>
        <v>100</v>
      </c>
      <c r="I31" s="32">
        <v>3.91</v>
      </c>
      <c r="J31" s="33">
        <v>190</v>
      </c>
      <c r="K31" s="34">
        <f t="shared" si="1"/>
        <v>742.9</v>
      </c>
      <c r="L31" s="33">
        <f t="shared" si="2"/>
        <v>1783</v>
      </c>
      <c r="M31" s="34">
        <f t="shared" si="3"/>
        <v>3566</v>
      </c>
      <c r="N31" s="33">
        <v>7700</v>
      </c>
      <c r="O31" s="35">
        <v>0.18</v>
      </c>
      <c r="P31" s="34">
        <f t="shared" si="4"/>
        <v>1386</v>
      </c>
      <c r="Q31" s="33">
        <v>2900</v>
      </c>
      <c r="R31" s="35">
        <v>0.1</v>
      </c>
      <c r="S31" s="34">
        <f t="shared" si="5"/>
        <v>700</v>
      </c>
      <c r="T31" s="34">
        <f t="shared" si="6"/>
        <v>4986</v>
      </c>
      <c r="U31" s="36">
        <v>0.1</v>
      </c>
      <c r="V31" s="34">
        <f t="shared" si="7"/>
        <v>770</v>
      </c>
      <c r="W31" s="34">
        <f t="shared" si="8"/>
        <v>-852</v>
      </c>
      <c r="X31" s="34">
        <f t="shared" si="9"/>
        <v>-1622</v>
      </c>
      <c r="Y31" s="34">
        <f t="shared" si="10"/>
        <v>1944</v>
      </c>
      <c r="Z31" s="29" t="s">
        <v>152</v>
      </c>
      <c r="AA31" s="37" t="s">
        <v>121</v>
      </c>
      <c r="AB31" s="28" t="s">
        <v>237</v>
      </c>
      <c r="AC31" s="29" t="s">
        <v>238</v>
      </c>
      <c r="AD31" s="37" t="s">
        <v>124</v>
      </c>
      <c r="AE31" s="28" t="s">
        <v>239</v>
      </c>
      <c r="AF31" s="29" t="s">
        <v>240</v>
      </c>
      <c r="AG31" s="38">
        <f t="shared" si="11"/>
        <v>0.1</v>
      </c>
      <c r="AH31" s="38">
        <f t="shared" si="12"/>
        <v>-1.1064935064935064</v>
      </c>
      <c r="AI31" s="39" t="str">
        <f t="shared" si="13"/>
        <v>NO</v>
      </c>
      <c r="AJ31" s="40">
        <f t="shared" si="14"/>
        <v>1622</v>
      </c>
      <c r="AK31" s="41">
        <f t="shared" si="15"/>
        <v>2.1315789473684212</v>
      </c>
    </row>
    <row r="32" spans="1:37" ht="49.5" customHeight="1">
      <c r="A32" s="28" t="s">
        <v>82</v>
      </c>
      <c r="B32" s="29" t="s">
        <v>78</v>
      </c>
      <c r="C32" s="29" t="s">
        <v>83</v>
      </c>
      <c r="D32" s="30">
        <v>40</v>
      </c>
      <c r="E32" s="28" t="s">
        <v>119</v>
      </c>
      <c r="F32" s="31">
        <v>100</v>
      </c>
      <c r="G32" s="30">
        <f>ROUNDUP(F32/D32,0)</f>
        <v>3</v>
      </c>
      <c r="H32" s="30">
        <f t="shared" si="0"/>
        <v>120</v>
      </c>
      <c r="I32" s="32">
        <v>4.5</v>
      </c>
      <c r="J32" s="33">
        <v>190</v>
      </c>
      <c r="K32" s="34">
        <f t="shared" si="1"/>
        <v>855</v>
      </c>
      <c r="L32" s="33">
        <f t="shared" si="2"/>
        <v>2052</v>
      </c>
      <c r="M32" s="34">
        <f t="shared" si="3"/>
        <v>6156</v>
      </c>
      <c r="N32" s="33">
        <v>13860</v>
      </c>
      <c r="O32" s="35">
        <v>0.18</v>
      </c>
      <c r="P32" s="34">
        <f t="shared" si="4"/>
        <v>2494.7999999999997</v>
      </c>
      <c r="Q32" s="33">
        <v>2900</v>
      </c>
      <c r="R32" s="35">
        <v>0.1</v>
      </c>
      <c r="S32" s="34">
        <f t="shared" si="5"/>
        <v>1260</v>
      </c>
      <c r="T32" s="34">
        <f t="shared" si="6"/>
        <v>6654.7999999999993</v>
      </c>
      <c r="U32" s="36">
        <v>0.1</v>
      </c>
      <c r="V32" s="34">
        <f t="shared" si="7"/>
        <v>1386</v>
      </c>
      <c r="W32" s="34">
        <f t="shared" si="8"/>
        <v>1049.2000000000007</v>
      </c>
      <c r="X32" s="34">
        <f t="shared" si="9"/>
        <v>-336.79999999999927</v>
      </c>
      <c r="Y32" s="34">
        <f t="shared" si="10"/>
        <v>5819.2000000000007</v>
      </c>
      <c r="Z32" s="29" t="s">
        <v>152</v>
      </c>
      <c r="AA32" s="37" t="s">
        <v>121</v>
      </c>
      <c r="AB32" s="28" t="s">
        <v>241</v>
      </c>
      <c r="AC32" s="29" t="s">
        <v>242</v>
      </c>
      <c r="AD32" s="37" t="s">
        <v>124</v>
      </c>
      <c r="AE32" s="28" t="s">
        <v>243</v>
      </c>
      <c r="AF32" s="29" t="s">
        <v>244</v>
      </c>
      <c r="AG32" s="38">
        <f t="shared" si="11"/>
        <v>0.1</v>
      </c>
      <c r="AH32" s="38">
        <f t="shared" si="12"/>
        <v>0.75699855699855756</v>
      </c>
      <c r="AI32" s="39" t="str">
        <f t="shared" si="13"/>
        <v>NO</v>
      </c>
      <c r="AJ32" s="40">
        <f t="shared" si="14"/>
        <v>336.79999999999927</v>
      </c>
      <c r="AK32" s="41">
        <f t="shared" si="15"/>
        <v>4.2538011695906439</v>
      </c>
    </row>
    <row r="33" spans="1:37" ht="49.5" customHeight="1">
      <c r="A33" s="28" t="s">
        <v>84</v>
      </c>
      <c r="B33" s="29" t="s">
        <v>78</v>
      </c>
      <c r="C33" s="29" t="s">
        <v>85</v>
      </c>
      <c r="D33" s="30">
        <v>50</v>
      </c>
      <c r="E33" s="28" t="s">
        <v>119</v>
      </c>
      <c r="F33" s="31">
        <v>100</v>
      </c>
      <c r="G33" s="30">
        <f>ROUNDUP(F33/D33,0)</f>
        <v>2</v>
      </c>
      <c r="H33" s="30">
        <f t="shared" si="0"/>
        <v>100</v>
      </c>
      <c r="I33" s="32">
        <v>5</v>
      </c>
      <c r="J33" s="33">
        <v>190</v>
      </c>
      <c r="K33" s="34">
        <f t="shared" si="1"/>
        <v>950</v>
      </c>
      <c r="L33" s="33">
        <f t="shared" si="2"/>
        <v>2280</v>
      </c>
      <c r="M33" s="34">
        <f t="shared" si="3"/>
        <v>4560</v>
      </c>
      <c r="N33" s="33">
        <v>13860</v>
      </c>
      <c r="O33" s="35">
        <v>0.18</v>
      </c>
      <c r="P33" s="34">
        <f t="shared" si="4"/>
        <v>2494.7999999999997</v>
      </c>
      <c r="Q33" s="33">
        <v>2900</v>
      </c>
      <c r="R33" s="35">
        <v>0.1</v>
      </c>
      <c r="S33" s="34">
        <f t="shared" si="5"/>
        <v>1260</v>
      </c>
      <c r="T33" s="34">
        <f t="shared" si="6"/>
        <v>6654.7999999999993</v>
      </c>
      <c r="U33" s="36">
        <v>0.1</v>
      </c>
      <c r="V33" s="34">
        <f t="shared" si="7"/>
        <v>1386</v>
      </c>
      <c r="W33" s="34">
        <f t="shared" si="8"/>
        <v>2645.2000000000007</v>
      </c>
      <c r="X33" s="34">
        <f t="shared" si="9"/>
        <v>1259.2000000000007</v>
      </c>
      <c r="Y33" s="34">
        <f t="shared" si="10"/>
        <v>5819.2000000000007</v>
      </c>
      <c r="Z33" s="29" t="s">
        <v>152</v>
      </c>
      <c r="AA33" s="37" t="s">
        <v>121</v>
      </c>
      <c r="AB33" s="28" t="s">
        <v>245</v>
      </c>
      <c r="AC33" s="29" t="s">
        <v>246</v>
      </c>
      <c r="AD33" s="37" t="s">
        <v>124</v>
      </c>
      <c r="AE33" s="28" t="s">
        <v>247</v>
      </c>
      <c r="AF33" s="29" t="s">
        <v>248</v>
      </c>
      <c r="AG33" s="38">
        <f t="shared" si="11"/>
        <v>0.1</v>
      </c>
      <c r="AH33" s="38">
        <f t="shared" si="12"/>
        <v>1.9085137085137089</v>
      </c>
      <c r="AI33" s="39" t="str">
        <f t="shared" si="13"/>
        <v>GO</v>
      </c>
      <c r="AJ33" s="40">
        <f t="shared" si="14"/>
        <v>0</v>
      </c>
      <c r="AK33" s="41">
        <f t="shared" si="15"/>
        <v>6.3807017543859663</v>
      </c>
    </row>
  </sheetData>
  <mergeCells count="4">
    <mergeCell ref="B1:Z1"/>
    <mergeCell ref="AA1:AF1"/>
    <mergeCell ref="B2:Z2"/>
    <mergeCell ref="Z4:Z10"/>
  </mergeCells>
  <phoneticPr fontId="17" type="noConversion"/>
  <conditionalFormatting sqref="AH4:AH33">
    <cfRule type="cellIs" dxfId="5" priority="5" operator="greaterThanOrEqual">
      <formula>1</formula>
    </cfRule>
    <cfRule type="cellIs" dxfId="4" priority="6" operator="between">
      <formula>$AF$2</formula>
      <formula>1</formula>
    </cfRule>
    <cfRule type="cellIs" dxfId="3" priority="7" operator="lessThan">
      <formula>$AF$2</formula>
    </cfRule>
  </conditionalFormatting>
  <conditionalFormatting sqref="AI4:AI33">
    <cfRule type="expression" dxfId="2" priority="2">
      <formula>AI4="GO"</formula>
    </cfRule>
    <cfRule type="expression" dxfId="1" priority="3">
      <formula>AI4="조건부"</formula>
    </cfRule>
    <cfRule type="expression" dxfId="0" priority="4">
      <formula>AI4="NO"</formula>
    </cfRule>
  </conditionalFormatting>
  <dataValidations count="2">
    <dataValidation type="decimal" allowBlank="1" errorTitle="입력 오류" error="0%~100% 범위의 비율만 입력할 수 있습니다." promptTitle="비율 입력" prompt="0%~100% 사이의 값을 입력하세요. 예: 30%는 0.3 또는 30%" sqref="AD2 AF2 U4:U33" xr:uid="{00000000-0002-0000-0100-000000000000}">
      <formula1>0</formula1>
      <formula2>1</formula2>
    </dataValidation>
    <dataValidation type="decimal" operator="greaterThan" errorTitle="입력 오류" error="공급배수는 0보다 커야 합니다." promptTitle="공급배수 입력" prompt="0보다 큰 숫자를 입력하세요. 예: 2.4" sqref="AB2" xr:uid="{00000000-0002-0000-0100-000001000000}">
      <formula1>0</formula1>
      <formula2>0</formula2>
    </dataValidation>
  </dataValidations>
  <hyperlinks>
    <hyperlink ref="AA4" r:id="rId1" xr:uid="{00000000-0004-0000-0100-000000000000}"/>
    <hyperlink ref="AD4" r:id="rId2" xr:uid="{00000000-0004-0000-0100-000001000000}"/>
    <hyperlink ref="AA5" r:id="rId3" xr:uid="{00000000-0004-0000-0100-000002000000}"/>
    <hyperlink ref="AD5" r:id="rId4" xr:uid="{00000000-0004-0000-0100-000003000000}"/>
    <hyperlink ref="AA6" r:id="rId5" xr:uid="{00000000-0004-0000-0100-000004000000}"/>
    <hyperlink ref="AD6" r:id="rId6" xr:uid="{00000000-0004-0000-0100-000005000000}"/>
    <hyperlink ref="AA7" r:id="rId7" xr:uid="{00000000-0004-0000-0100-000006000000}"/>
    <hyperlink ref="AD7" r:id="rId8" xr:uid="{00000000-0004-0000-0100-000007000000}"/>
    <hyperlink ref="AA8" r:id="rId9" xr:uid="{00000000-0004-0000-0100-000008000000}"/>
    <hyperlink ref="AD8" r:id="rId10" xr:uid="{00000000-0004-0000-0100-000009000000}"/>
    <hyperlink ref="AA9" r:id="rId11" xr:uid="{00000000-0004-0000-0100-00000A000000}"/>
    <hyperlink ref="AD9" r:id="rId12" xr:uid="{00000000-0004-0000-0100-00000B000000}"/>
    <hyperlink ref="AA10" r:id="rId13" xr:uid="{00000000-0004-0000-0100-00000C000000}"/>
    <hyperlink ref="AD10" r:id="rId14" xr:uid="{00000000-0004-0000-0100-00000D000000}"/>
    <hyperlink ref="AA11" r:id="rId15" xr:uid="{00000000-0004-0000-0100-00000E000000}"/>
    <hyperlink ref="AD11" r:id="rId16" xr:uid="{00000000-0004-0000-0100-00000F000000}"/>
    <hyperlink ref="AA12" r:id="rId17" xr:uid="{00000000-0004-0000-0100-000010000000}"/>
    <hyperlink ref="AD12" r:id="rId18" xr:uid="{00000000-0004-0000-0100-000011000000}"/>
    <hyperlink ref="AA13" r:id="rId19" xr:uid="{00000000-0004-0000-0100-000012000000}"/>
    <hyperlink ref="AD13" r:id="rId20" xr:uid="{00000000-0004-0000-0100-000013000000}"/>
    <hyperlink ref="AA14" r:id="rId21" xr:uid="{00000000-0004-0000-0100-000014000000}"/>
    <hyperlink ref="AD14" r:id="rId22" xr:uid="{00000000-0004-0000-0100-000015000000}"/>
    <hyperlink ref="AA15" r:id="rId23" xr:uid="{00000000-0004-0000-0100-000016000000}"/>
    <hyperlink ref="AD15" r:id="rId24" xr:uid="{00000000-0004-0000-0100-000017000000}"/>
    <hyperlink ref="AA16" r:id="rId25" xr:uid="{00000000-0004-0000-0100-000018000000}"/>
    <hyperlink ref="AD16" r:id="rId26" xr:uid="{00000000-0004-0000-0100-000019000000}"/>
    <hyperlink ref="AA17" r:id="rId27" xr:uid="{00000000-0004-0000-0100-00001A000000}"/>
    <hyperlink ref="AD17" r:id="rId28" xr:uid="{00000000-0004-0000-0100-00001B000000}"/>
    <hyperlink ref="AA18" r:id="rId29" xr:uid="{00000000-0004-0000-0100-00001C000000}"/>
    <hyperlink ref="AD18" r:id="rId30" xr:uid="{00000000-0004-0000-0100-00001D000000}"/>
    <hyperlink ref="AA19" r:id="rId31" xr:uid="{00000000-0004-0000-0100-00001E000000}"/>
    <hyperlink ref="AD19" r:id="rId32" xr:uid="{00000000-0004-0000-0100-00001F000000}"/>
    <hyperlink ref="AA20" r:id="rId33" xr:uid="{00000000-0004-0000-0100-000020000000}"/>
    <hyperlink ref="AD20" r:id="rId34" xr:uid="{00000000-0004-0000-0100-000021000000}"/>
    <hyperlink ref="AA21" r:id="rId35" xr:uid="{00000000-0004-0000-0100-000022000000}"/>
    <hyperlink ref="AD21" r:id="rId36" xr:uid="{00000000-0004-0000-0100-000023000000}"/>
    <hyperlink ref="AA22" r:id="rId37" xr:uid="{00000000-0004-0000-0100-000024000000}"/>
    <hyperlink ref="AD22" r:id="rId38" xr:uid="{00000000-0004-0000-0100-000025000000}"/>
    <hyperlink ref="AA23" r:id="rId39" xr:uid="{00000000-0004-0000-0100-000026000000}"/>
    <hyperlink ref="AD23" r:id="rId40" xr:uid="{00000000-0004-0000-0100-000027000000}"/>
    <hyperlink ref="AA24" r:id="rId41" xr:uid="{00000000-0004-0000-0100-000028000000}"/>
    <hyperlink ref="AD24" r:id="rId42" xr:uid="{00000000-0004-0000-0100-000029000000}"/>
    <hyperlink ref="AA25" r:id="rId43" xr:uid="{00000000-0004-0000-0100-00002A000000}"/>
    <hyperlink ref="AD25" r:id="rId44" xr:uid="{00000000-0004-0000-0100-00002B000000}"/>
    <hyperlink ref="AA26" r:id="rId45" xr:uid="{00000000-0004-0000-0100-00002C000000}"/>
    <hyperlink ref="AD26" r:id="rId46" xr:uid="{00000000-0004-0000-0100-00002D000000}"/>
    <hyperlink ref="AA27" r:id="rId47" xr:uid="{00000000-0004-0000-0100-00002E000000}"/>
    <hyperlink ref="AD27" r:id="rId48" xr:uid="{00000000-0004-0000-0100-00002F000000}"/>
    <hyperlink ref="AA28" r:id="rId49" xr:uid="{00000000-0004-0000-0100-000030000000}"/>
    <hyperlink ref="AD28" r:id="rId50" xr:uid="{00000000-0004-0000-0100-000031000000}"/>
    <hyperlink ref="AA29" r:id="rId51" xr:uid="{00000000-0004-0000-0100-000032000000}"/>
    <hyperlink ref="AD29" r:id="rId52" xr:uid="{00000000-0004-0000-0100-000033000000}"/>
    <hyperlink ref="AA30" r:id="rId53" xr:uid="{00000000-0004-0000-0100-000034000000}"/>
    <hyperlink ref="AD30" r:id="rId54" xr:uid="{00000000-0004-0000-0100-000035000000}"/>
    <hyperlink ref="AA31" r:id="rId55" xr:uid="{00000000-0004-0000-0100-000036000000}"/>
    <hyperlink ref="AD31" r:id="rId56" xr:uid="{00000000-0004-0000-0100-000037000000}"/>
    <hyperlink ref="AA32" r:id="rId57" xr:uid="{00000000-0004-0000-0100-000038000000}"/>
    <hyperlink ref="AD32" r:id="rId58" xr:uid="{00000000-0004-0000-0100-000039000000}"/>
    <hyperlink ref="AA33" r:id="rId59" xr:uid="{00000000-0004-0000-0100-00003A000000}"/>
    <hyperlink ref="AD33" r:id="rId60" xr:uid="{00000000-0004-0000-0100-00003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showGridLines="0" zoomScaleNormal="100" workbookViewId="0">
      <pane ySplit="17" topLeftCell="A18" activePane="bottomLeft" state="frozen"/>
      <selection pane="bottomLeft" sqref="A1:F1"/>
    </sheetView>
  </sheetViews>
  <sheetFormatPr defaultColWidth="8.625" defaultRowHeight="15" customHeight="1"/>
  <cols>
    <col min="1" max="1" width="12" customWidth="1"/>
    <col min="2" max="2" width="10" customWidth="1"/>
    <col min="3" max="3" width="34" customWidth="1"/>
    <col min="4" max="4" width="12" customWidth="1"/>
    <col min="5" max="6" width="14" customWidth="1"/>
    <col min="7" max="7" width="16" customWidth="1"/>
  </cols>
  <sheetData>
    <row r="1" spans="1:7" ht="24" customHeight="1">
      <c r="A1" s="6" t="s">
        <v>0</v>
      </c>
      <c r="B1" s="6"/>
      <c r="C1" s="6"/>
      <c r="D1" s="6"/>
      <c r="E1" s="6"/>
      <c r="F1" s="6"/>
    </row>
    <row r="3" spans="1:7" ht="15" customHeight="1">
      <c r="A3" s="7" t="s">
        <v>1</v>
      </c>
    </row>
    <row r="4" spans="1:7" ht="126.75" customHeight="1">
      <c r="A4" s="8" t="s">
        <v>2</v>
      </c>
    </row>
    <row r="5" spans="1:7" ht="142.5" customHeight="1">
      <c r="A5" s="8" t="s">
        <v>3</v>
      </c>
    </row>
    <row r="6" spans="1:7" ht="142.5" customHeight="1">
      <c r="A6" s="9" t="s">
        <v>4</v>
      </c>
    </row>
    <row r="8" spans="1:7" ht="15" customHeight="1">
      <c r="A8" s="7" t="s">
        <v>5</v>
      </c>
    </row>
    <row r="9" spans="1:7" ht="15" customHeight="1">
      <c r="A9" s="10" t="s">
        <v>6</v>
      </c>
      <c r="B9" s="11">
        <v>2.4</v>
      </c>
      <c r="C9" s="10" t="s">
        <v>7</v>
      </c>
      <c r="D9" s="12">
        <v>0.3</v>
      </c>
      <c r="E9" s="10" t="s">
        <v>8</v>
      </c>
      <c r="F9" s="12">
        <v>0.9</v>
      </c>
    </row>
    <row r="11" spans="1:7" ht="15" customHeight="1">
      <c r="A11" s="13" t="s">
        <v>9</v>
      </c>
      <c r="B11" s="14">
        <v>30</v>
      </c>
    </row>
    <row r="12" spans="1:7" ht="15" customHeight="1">
      <c r="A12" s="15" t="s">
        <v>10</v>
      </c>
      <c r="B12" s="14">
        <v>0</v>
      </c>
    </row>
    <row r="13" spans="1:7" ht="15" customHeight="1">
      <c r="A13" s="13" t="s">
        <v>11</v>
      </c>
      <c r="B13" s="14">
        <v>0</v>
      </c>
    </row>
    <row r="14" spans="1:7" ht="15" customHeight="1">
      <c r="A14" s="15" t="s">
        <v>12</v>
      </c>
      <c r="B14" s="14">
        <v>30</v>
      </c>
    </row>
    <row r="16" spans="1:7" ht="17.100000000000001" customHeight="1">
      <c r="A16" s="5" t="s">
        <v>13</v>
      </c>
      <c r="B16" s="5"/>
      <c r="C16" s="5"/>
      <c r="D16" s="5"/>
      <c r="E16" s="5"/>
      <c r="F16" s="5"/>
      <c r="G16" s="5"/>
    </row>
    <row r="17" spans="1:7" ht="32.25" customHeight="1">
      <c r="A17" s="16" t="s">
        <v>14</v>
      </c>
      <c r="B17" s="16" t="s">
        <v>15</v>
      </c>
      <c r="C17" s="16" t="s">
        <v>16</v>
      </c>
      <c r="D17" s="16" t="s">
        <v>17</v>
      </c>
      <c r="E17" s="16" t="s">
        <v>18</v>
      </c>
      <c r="F17" s="16" t="s">
        <v>19</v>
      </c>
      <c r="G17" s="16" t="s">
        <v>20</v>
      </c>
    </row>
    <row r="18" spans="1:7" ht="16.5" customHeight="1">
      <c r="A18" s="17" t="s">
        <v>21</v>
      </c>
      <c r="B18" s="18" t="s">
        <v>22</v>
      </c>
      <c r="C18" s="19" t="s">
        <v>23</v>
      </c>
      <c r="D18" s="17" t="s">
        <v>12</v>
      </c>
      <c r="E18" s="20">
        <v>0.23240276783583899</v>
      </c>
      <c r="F18" s="21">
        <v>2924.54545454545</v>
      </c>
      <c r="G18" s="22">
        <v>0.79870129870129902</v>
      </c>
    </row>
    <row r="19" spans="1:7" ht="16.5" customHeight="1">
      <c r="A19" s="17" t="s">
        <v>24</v>
      </c>
      <c r="B19" s="18" t="s">
        <v>22</v>
      </c>
      <c r="C19" s="19" t="s">
        <v>25</v>
      </c>
      <c r="D19" s="17" t="s">
        <v>12</v>
      </c>
      <c r="E19" s="20">
        <v>0.37996289424860902</v>
      </c>
      <c r="F19" s="21">
        <v>1822.9090909090901</v>
      </c>
      <c r="G19" s="22">
        <v>0.71551036682615599</v>
      </c>
    </row>
    <row r="20" spans="1:7" ht="16.5" customHeight="1">
      <c r="A20" s="17" t="s">
        <v>26</v>
      </c>
      <c r="B20" s="18" t="s">
        <v>22</v>
      </c>
      <c r="C20" s="19" t="s">
        <v>27</v>
      </c>
      <c r="D20" s="17" t="s">
        <v>12</v>
      </c>
      <c r="E20" s="20">
        <v>-1.5582027168234101</v>
      </c>
      <c r="F20" s="21">
        <v>4451.2727272727298</v>
      </c>
      <c r="G20" s="22">
        <v>-0.225478468899522</v>
      </c>
    </row>
    <row r="21" spans="1:7" ht="16.5" customHeight="1">
      <c r="A21" s="17" t="s">
        <v>28</v>
      </c>
      <c r="B21" s="18" t="s">
        <v>22</v>
      </c>
      <c r="C21" s="19" t="s">
        <v>29</v>
      </c>
      <c r="D21" s="17" t="s">
        <v>12</v>
      </c>
      <c r="E21" s="20">
        <v>-2.4196969696969699</v>
      </c>
      <c r="F21" s="21">
        <v>6565.8181818181802</v>
      </c>
      <c r="G21" s="22">
        <v>-8.4330143540669797E-2</v>
      </c>
    </row>
    <row r="22" spans="1:7" ht="16.5" customHeight="1">
      <c r="A22" s="17" t="s">
        <v>30</v>
      </c>
      <c r="B22" s="18" t="s">
        <v>22</v>
      </c>
      <c r="C22" s="19" t="s">
        <v>31</v>
      </c>
      <c r="D22" s="17" t="s">
        <v>12</v>
      </c>
      <c r="E22" s="20">
        <v>-0.19123543123543099</v>
      </c>
      <c r="F22" s="21">
        <v>4645.8181818181802</v>
      </c>
      <c r="G22" s="22">
        <v>1.4683014354067001</v>
      </c>
    </row>
    <row r="23" spans="1:7" ht="32.25" customHeight="1">
      <c r="A23" s="17" t="s">
        <v>32</v>
      </c>
      <c r="B23" s="18" t="s">
        <v>22</v>
      </c>
      <c r="C23" s="19" t="s">
        <v>33</v>
      </c>
      <c r="D23" s="17" t="s">
        <v>12</v>
      </c>
      <c r="E23" s="20">
        <v>-0.30405594405594399</v>
      </c>
      <c r="F23" s="21">
        <v>5085.8181818181802</v>
      </c>
      <c r="G23" s="22">
        <v>1.4683014354067001</v>
      </c>
    </row>
    <row r="24" spans="1:7" ht="32.25" customHeight="1">
      <c r="A24" s="17" t="s">
        <v>34</v>
      </c>
      <c r="B24" s="18" t="s">
        <v>22</v>
      </c>
      <c r="C24" s="19" t="s">
        <v>35</v>
      </c>
      <c r="D24" s="17" t="s">
        <v>12</v>
      </c>
      <c r="E24" s="20">
        <v>-0.108744588744589</v>
      </c>
      <c r="F24" s="21">
        <v>4656.7272727272702</v>
      </c>
      <c r="G24" s="22">
        <v>1.70354864433812</v>
      </c>
    </row>
    <row r="25" spans="1:7" ht="31.5" customHeight="1">
      <c r="A25" s="17" t="s">
        <v>36</v>
      </c>
      <c r="B25" s="18" t="s">
        <v>22</v>
      </c>
      <c r="C25" s="19" t="s">
        <v>37</v>
      </c>
      <c r="D25" s="17" t="s">
        <v>12</v>
      </c>
      <c r="E25" s="20">
        <v>0.50252525252525304</v>
      </c>
      <c r="F25" s="21">
        <v>1790.9090909090901</v>
      </c>
      <c r="G25" s="22">
        <v>1.23305422647528</v>
      </c>
    </row>
    <row r="26" spans="1:7" ht="32.25" customHeight="1">
      <c r="A26" s="17" t="s">
        <v>38</v>
      </c>
      <c r="B26" s="18" t="s">
        <v>22</v>
      </c>
      <c r="C26" s="19" t="s">
        <v>39</v>
      </c>
      <c r="D26" s="17" t="s">
        <v>12</v>
      </c>
      <c r="E26" s="20">
        <v>0.135191919191919</v>
      </c>
      <c r="F26" s="21">
        <v>3891.6363636363599</v>
      </c>
      <c r="G26" s="22">
        <v>1.93879585326954</v>
      </c>
    </row>
    <row r="27" spans="1:7" ht="16.5" customHeight="1">
      <c r="A27" s="17" t="s">
        <v>40</v>
      </c>
      <c r="B27" s="18" t="s">
        <v>22</v>
      </c>
      <c r="C27" s="19" t="s">
        <v>41</v>
      </c>
      <c r="D27" s="17" t="s">
        <v>12</v>
      </c>
      <c r="E27" s="20">
        <v>-9.7289562289562204E-2</v>
      </c>
      <c r="F27" s="21">
        <v>5925.3636363636397</v>
      </c>
      <c r="G27" s="22">
        <v>3.5260499734183899</v>
      </c>
    </row>
    <row r="28" spans="1:7" ht="16.5" customHeight="1">
      <c r="A28" s="17" t="s">
        <v>42</v>
      </c>
      <c r="B28" s="18" t="s">
        <v>43</v>
      </c>
      <c r="C28" s="19" t="s">
        <v>44</v>
      </c>
      <c r="D28" s="17" t="s">
        <v>12</v>
      </c>
      <c r="E28" s="20">
        <v>-1.7268986157874999</v>
      </c>
      <c r="F28" s="21">
        <v>3313.1818181818198</v>
      </c>
      <c r="G28" s="22">
        <v>-0.84954811270600705</v>
      </c>
    </row>
    <row r="29" spans="1:7" ht="16.5" customHeight="1">
      <c r="A29" s="17" t="s">
        <v>45</v>
      </c>
      <c r="B29" s="18" t="s">
        <v>43</v>
      </c>
      <c r="C29" s="19" t="s">
        <v>46</v>
      </c>
      <c r="D29" s="17" t="s">
        <v>12</v>
      </c>
      <c r="E29" s="20">
        <v>-1.5828656939768</v>
      </c>
      <c r="F29" s="21">
        <v>3138.1818181818198</v>
      </c>
      <c r="G29" s="22">
        <v>-1.2743221690590101</v>
      </c>
    </row>
    <row r="30" spans="1:7" ht="16.5" customHeight="1">
      <c r="A30" s="17" t="s">
        <v>47</v>
      </c>
      <c r="B30" s="18" t="s">
        <v>43</v>
      </c>
      <c r="C30" s="19" t="s">
        <v>48</v>
      </c>
      <c r="D30" s="17" t="s">
        <v>12</v>
      </c>
      <c r="E30" s="20">
        <v>-1.7417134306023201</v>
      </c>
      <c r="F30" s="21">
        <v>3331.1818181818198</v>
      </c>
      <c r="G30" s="22">
        <v>-0.84954811270600705</v>
      </c>
    </row>
    <row r="31" spans="1:7" ht="16.5" customHeight="1">
      <c r="A31" s="17" t="s">
        <v>49</v>
      </c>
      <c r="B31" s="18" t="s">
        <v>43</v>
      </c>
      <c r="C31" s="19" t="s">
        <v>50</v>
      </c>
      <c r="D31" s="17" t="s">
        <v>12</v>
      </c>
      <c r="E31" s="20">
        <v>-1.6832772166105501</v>
      </c>
      <c r="F31" s="21">
        <v>3260.1818181818198</v>
      </c>
      <c r="G31" s="22">
        <v>-1.2743221690590101</v>
      </c>
    </row>
    <row r="32" spans="1:7" ht="16.5" customHeight="1">
      <c r="A32" s="17" t="s">
        <v>51</v>
      </c>
      <c r="B32" s="18" t="s">
        <v>43</v>
      </c>
      <c r="C32" s="19" t="s">
        <v>52</v>
      </c>
      <c r="D32" s="17" t="s">
        <v>12</v>
      </c>
      <c r="E32" s="20">
        <v>-0.41324535679374402</v>
      </c>
      <c r="F32" s="21">
        <v>2628.6363636363599</v>
      </c>
      <c r="G32" s="22">
        <v>-0.52551834130781505</v>
      </c>
    </row>
    <row r="33" spans="1:7" ht="16.5" customHeight="1">
      <c r="A33" s="17" t="s">
        <v>53</v>
      </c>
      <c r="B33" s="18" t="s">
        <v>54</v>
      </c>
      <c r="C33" s="19" t="s">
        <v>55</v>
      </c>
      <c r="D33" s="17" t="s">
        <v>12</v>
      </c>
      <c r="E33" s="20">
        <v>-0.66434717545828703</v>
      </c>
      <c r="F33" s="21">
        <v>2831.05454545455</v>
      </c>
      <c r="G33" s="22">
        <v>-0.341414141414142</v>
      </c>
    </row>
    <row r="34" spans="1:7" ht="16.5" customHeight="1">
      <c r="A34" s="17" t="s">
        <v>56</v>
      </c>
      <c r="B34" s="18" t="s">
        <v>54</v>
      </c>
      <c r="C34" s="19" t="s">
        <v>57</v>
      </c>
      <c r="D34" s="17" t="s">
        <v>12</v>
      </c>
      <c r="E34" s="20">
        <v>-0.81425899203676999</v>
      </c>
      <c r="F34" s="21">
        <v>3086.05454545455</v>
      </c>
      <c r="G34" s="22">
        <v>-0.341414141414142</v>
      </c>
    </row>
    <row r="35" spans="1:7" ht="16.5" customHeight="1">
      <c r="A35" s="17" t="s">
        <v>58</v>
      </c>
      <c r="B35" s="18" t="s">
        <v>54</v>
      </c>
      <c r="C35" s="19" t="s">
        <v>59</v>
      </c>
      <c r="D35" s="17" t="s">
        <v>12</v>
      </c>
      <c r="E35" s="20">
        <v>-1.2040297151408299</v>
      </c>
      <c r="F35" s="21">
        <v>3749.05454545455</v>
      </c>
      <c r="G35" s="22">
        <v>-0.341414141414142</v>
      </c>
    </row>
    <row r="36" spans="1:7" ht="16.5" customHeight="1">
      <c r="A36" s="17" t="s">
        <v>60</v>
      </c>
      <c r="B36" s="18" t="s">
        <v>54</v>
      </c>
      <c r="C36" s="19" t="s">
        <v>61</v>
      </c>
      <c r="D36" s="17" t="s">
        <v>12</v>
      </c>
      <c r="E36" s="20">
        <v>-1.10173694618139</v>
      </c>
      <c r="F36" s="21">
        <v>3575.05454545455</v>
      </c>
      <c r="G36" s="22">
        <v>-0.341414141414142</v>
      </c>
    </row>
    <row r="37" spans="1:7" ht="16.5" customHeight="1">
      <c r="A37" s="17" t="s">
        <v>62</v>
      </c>
      <c r="B37" s="18" t="s">
        <v>54</v>
      </c>
      <c r="C37" s="19" t="s">
        <v>63</v>
      </c>
      <c r="D37" s="17" t="s">
        <v>12</v>
      </c>
      <c r="E37" s="20">
        <v>-1.32043183154294</v>
      </c>
      <c r="F37" s="21">
        <v>3947.05454545455</v>
      </c>
      <c r="G37" s="22">
        <v>-0.341414141414142</v>
      </c>
    </row>
    <row r="38" spans="1:7" ht="16.5" customHeight="1">
      <c r="A38" s="17" t="s">
        <v>64</v>
      </c>
      <c r="B38" s="18" t="s">
        <v>54</v>
      </c>
      <c r="C38" s="19" t="s">
        <v>65</v>
      </c>
      <c r="D38" s="17" t="s">
        <v>12</v>
      </c>
      <c r="E38" s="20">
        <v>-1.4456522900967299</v>
      </c>
      <c r="F38" s="21">
        <v>4160.05454545455</v>
      </c>
      <c r="G38" s="22">
        <v>-0.341414141414142</v>
      </c>
    </row>
    <row r="39" spans="1:7" ht="16.5" customHeight="1">
      <c r="A39" s="17" t="s">
        <v>66</v>
      </c>
      <c r="B39" s="18" t="s">
        <v>54</v>
      </c>
      <c r="C39" s="19" t="s">
        <v>67</v>
      </c>
      <c r="D39" s="17" t="s">
        <v>12</v>
      </c>
      <c r="E39" s="20">
        <v>-1.7957351290683299E-3</v>
      </c>
      <c r="F39" s="21">
        <v>2434.3636363636401</v>
      </c>
      <c r="G39" s="22">
        <v>0.63118022328548695</v>
      </c>
    </row>
    <row r="40" spans="1:7" ht="16.5" customHeight="1">
      <c r="A40" s="17" t="s">
        <v>68</v>
      </c>
      <c r="B40" s="18" t="s">
        <v>54</v>
      </c>
      <c r="C40" s="19" t="s">
        <v>69</v>
      </c>
      <c r="D40" s="17" t="s">
        <v>12</v>
      </c>
      <c r="E40" s="20">
        <v>-1.21907968574635</v>
      </c>
      <c r="F40" s="21">
        <v>5392.3636363636397</v>
      </c>
      <c r="G40" s="22">
        <v>0.31559011164274298</v>
      </c>
    </row>
    <row r="41" spans="1:7" ht="16.5" customHeight="1">
      <c r="A41" s="17" t="s">
        <v>70</v>
      </c>
      <c r="B41" s="18" t="s">
        <v>71</v>
      </c>
      <c r="C41" s="19" t="s">
        <v>72</v>
      </c>
      <c r="D41" s="17" t="s">
        <v>12</v>
      </c>
      <c r="E41" s="20">
        <v>-0.41734523145566099</v>
      </c>
      <c r="F41" s="21">
        <v>2772.3272727272702</v>
      </c>
      <c r="G41" s="22">
        <v>-0.112200956937799</v>
      </c>
    </row>
    <row r="42" spans="1:7" ht="16.5" customHeight="1">
      <c r="A42" s="17" t="s">
        <v>73</v>
      </c>
      <c r="B42" s="18" t="s">
        <v>71</v>
      </c>
      <c r="C42" s="19" t="s">
        <v>74</v>
      </c>
      <c r="D42" s="17" t="s">
        <v>12</v>
      </c>
      <c r="E42" s="20">
        <v>-1.0653832442067701</v>
      </c>
      <c r="F42" s="21">
        <v>2633.3636363636401</v>
      </c>
      <c r="G42" s="22">
        <v>-2.3604465709728899</v>
      </c>
    </row>
    <row r="43" spans="1:7" ht="16.5" customHeight="1">
      <c r="A43" s="17" t="s">
        <v>75</v>
      </c>
      <c r="B43" s="18" t="s">
        <v>71</v>
      </c>
      <c r="C43" s="19" t="s">
        <v>76</v>
      </c>
      <c r="D43" s="17" t="s">
        <v>12</v>
      </c>
      <c r="E43" s="20">
        <v>-3.5898989898989901</v>
      </c>
      <c r="F43" s="21">
        <v>13632</v>
      </c>
      <c r="G43" s="22">
        <v>0.295614035087719</v>
      </c>
    </row>
    <row r="44" spans="1:7" ht="16.5" customHeight="1">
      <c r="A44" s="17" t="s">
        <v>77</v>
      </c>
      <c r="B44" s="18" t="s">
        <v>78</v>
      </c>
      <c r="C44" s="19" t="s">
        <v>79</v>
      </c>
      <c r="D44" s="17" t="s">
        <v>12</v>
      </c>
      <c r="E44" s="20">
        <v>-0.12207792207792199</v>
      </c>
      <c r="F44" s="21">
        <v>2592</v>
      </c>
      <c r="G44" s="22">
        <v>0.44298245614035098</v>
      </c>
    </row>
    <row r="45" spans="1:7" ht="16.5" customHeight="1">
      <c r="A45" s="17" t="s">
        <v>80</v>
      </c>
      <c r="B45" s="18" t="s">
        <v>78</v>
      </c>
      <c r="C45" s="19" t="s">
        <v>81</v>
      </c>
      <c r="D45" s="17" t="s">
        <v>12</v>
      </c>
      <c r="E45" s="20">
        <v>-0.36883116883116901</v>
      </c>
      <c r="F45" s="21">
        <v>3162</v>
      </c>
      <c r="G45" s="22">
        <v>0.44298245614035098</v>
      </c>
    </row>
    <row r="46" spans="1:7" ht="16.5" customHeight="1">
      <c r="A46" s="17" t="s">
        <v>82</v>
      </c>
      <c r="B46" s="18" t="s">
        <v>78</v>
      </c>
      <c r="C46" s="19" t="s">
        <v>83</v>
      </c>
      <c r="D46" s="17" t="s">
        <v>12</v>
      </c>
      <c r="E46" s="20">
        <v>0.25233285233285302</v>
      </c>
      <c r="F46" s="21">
        <v>3108.8</v>
      </c>
      <c r="G46" s="22">
        <v>2.2274853801169598</v>
      </c>
    </row>
    <row r="47" spans="1:7" ht="16.5" customHeight="1">
      <c r="A47" s="17" t="s">
        <v>84</v>
      </c>
      <c r="B47" s="18" t="s">
        <v>78</v>
      </c>
      <c r="C47" s="19" t="s">
        <v>85</v>
      </c>
      <c r="D47" s="17" t="s">
        <v>12</v>
      </c>
      <c r="E47" s="20">
        <v>0.63617123617123605</v>
      </c>
      <c r="F47" s="21">
        <v>1512.8</v>
      </c>
      <c r="G47" s="22">
        <v>3.3412280701754402</v>
      </c>
    </row>
  </sheetData>
  <autoFilter ref="A17:G47" xr:uid="{00000000-0009-0000-0000-000000000000}"/>
  <mergeCells count="2">
    <mergeCell ref="A1:F1"/>
    <mergeCell ref="A16:G16"/>
  </mergeCells>
  <phoneticPr fontId="17" type="noConversion"/>
  <conditionalFormatting sqref="D18:D47">
    <cfRule type="expression" dxfId="8" priority="2">
      <formula>D18="GO"</formula>
    </cfRule>
    <cfRule type="expression" dxfId="7" priority="3">
      <formula>D18="조건부"</formula>
    </cfRule>
    <cfRule type="expression" dxfId="6" priority="4">
      <formula>D18="NO"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묶음판매_재설계</vt:lpstr>
      <vt:lpstr>자동판정_요약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2026-03-20T09:24:12Z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2026-03-20T07:47:44Z</dcterms:created>
  <dc:creator>openpyxl</dc:creator>
  <dc:description/>
  <dc:language>en-US</dc:language>
  <cp:lastModifiedBy>Office</cp:lastModifiedBy>
  <dcterms:modified xsi:type="dcterms:W3CDTF">2026-03-20T08:48:36Z</dcterms:modified>
  <cp:revision>0</cp:revision>
  <dc:subject/>
  <dc:title/>
</cp:coreProperties>
</file>